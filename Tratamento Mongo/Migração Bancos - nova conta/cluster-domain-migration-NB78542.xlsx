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marcos_cunha_br_experian_com/Documents/"/>
    </mc:Choice>
  </mc:AlternateContent>
  <xr:revisionPtr revIDLastSave="0" documentId="14_{98E7F452-23C1-4C81-9EC4-0C0F27B4A91D}" xr6:coauthVersionLast="47" xr6:coauthVersionMax="47" xr10:uidLastSave="{00000000-0000-0000-0000-000000000000}"/>
  <bookViews>
    <workbookView xWindow="-1050" yWindow="-21255" windowWidth="29370" windowHeight="20955" xr2:uid="{0B9CF8DE-678E-4434-903A-E41ADE7C5402}"/>
  </bookViews>
  <sheets>
    <sheet name="CLUSTER DOCUMENT DB" sheetId="2" r:id="rId1"/>
    <sheet name="EKS NAMESPACE" sheetId="3" r:id="rId2"/>
    <sheet name="AMAZON MQ VIRTUAL HOSTS" sheetId="4" r:id="rId3"/>
    <sheet name="MONGODB ISSUE PLANNING" sheetId="6" r:id="rId4"/>
    <sheet name="Planilha1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6" i="3" l="1"/>
  <c r="B86" i="3"/>
  <c r="C86" i="3" l="1"/>
</calcChain>
</file>

<file path=xl/sharedStrings.xml><?xml version="1.0" encoding="utf-8"?>
<sst xmlns="http://schemas.openxmlformats.org/spreadsheetml/2006/main" count="755" uniqueCount="294">
  <si>
    <t>Database</t>
  </si>
  <si>
    <t>Apps (experian-*-domain-services/webhook)</t>
  </si>
  <si>
    <t>App com certificado OK</t>
  </si>
  <si>
    <t>Source Cluster</t>
  </si>
  <si>
    <t>Target Cluster</t>
  </si>
  <si>
    <t>Actual Volume (MB)</t>
  </si>
  <si>
    <t>Business criticality</t>
  </si>
  <si>
    <t>Status</t>
  </si>
  <si>
    <t>Obs</t>
  </si>
  <si>
    <t>Data Migração</t>
  </si>
  <si>
    <t>Owner Migração</t>
  </si>
  <si>
    <t>Tech Lead</t>
  </si>
  <si>
    <t>plataform</t>
  </si>
  <si>
    <t>product-platform</t>
  </si>
  <si>
    <t>Yes</t>
  </si>
  <si>
    <t>digital-products</t>
  </si>
  <si>
    <t>digital-services</t>
  </si>
  <si>
    <t>Highly Critical</t>
  </si>
  <si>
    <t>Migrated</t>
  </si>
  <si>
    <t>Cunha/André</t>
  </si>
  <si>
    <t>product</t>
  </si>
  <si>
    <t>product-access</t>
  </si>
  <si>
    <t>switching</t>
  </si>
  <si>
    <t>No</t>
  </si>
  <si>
    <t>customer-relationship</t>
  </si>
  <si>
    <t>Not Migrated</t>
  </si>
  <si>
    <t>Validar indices das collection</t>
  </si>
  <si>
    <t>callcenter</t>
  </si>
  <si>
    <t>backup to Glacier and delete</t>
  </si>
  <si>
    <t>Medium</t>
  </si>
  <si>
    <t>Daud</t>
  </si>
  <si>
    <t>userqrcode</t>
  </si>
  <si>
    <t>-</t>
  </si>
  <si>
    <t>catalogue</t>
  </si>
  <si>
    <t>digital-commerce-services</t>
  </si>
  <si>
    <t>Critical</t>
  </si>
  <si>
    <t>kba</t>
  </si>
  <si>
    <t>digital-kyc-services</t>
  </si>
  <si>
    <t>Low</t>
  </si>
  <si>
    <t>Eduardo</t>
  </si>
  <si>
    <t>Ricardo Neves</t>
  </si>
  <si>
    <t>validationDomain</t>
  </si>
  <si>
    <t>validation</t>
  </si>
  <si>
    <t>Renomeado para validation</t>
  </si>
  <si>
    <t>Wellington</t>
  </si>
  <si>
    <t>Marco Barbosa</t>
  </si>
  <si>
    <t>personValidation</t>
  </si>
  <si>
    <t>person-validation</t>
  </si>
  <si>
    <t>André</t>
  </si>
  <si>
    <t>Victor Zanin</t>
  </si>
  <si>
    <t>verifyid</t>
  </si>
  <si>
    <t>Davi</t>
  </si>
  <si>
    <t>Lombardi</t>
  </si>
  <si>
    <t>sms</t>
  </si>
  <si>
    <t>sms, sms-webhook</t>
  </si>
  <si>
    <t>device</t>
  </si>
  <si>
    <t>digital-security-services</t>
  </si>
  <si>
    <t>Cunha</t>
  </si>
  <si>
    <t>emailValidation</t>
  </si>
  <si>
    <t>email-validation</t>
  </si>
  <si>
    <t>phoneValidation</t>
  </si>
  <si>
    <t>phone-validation</t>
  </si>
  <si>
    <t>wallet</t>
  </si>
  <si>
    <t>sendgrid</t>
  </si>
  <si>
    <t>email-communication-webhook, sendgrid</t>
  </si>
  <si>
    <t>persona-video-loan</t>
  </si>
  <si>
    <t>digitalKms</t>
  </si>
  <si>
    <t>policy</t>
  </si>
  <si>
    <t>crypto</t>
  </si>
  <si>
    <t>crypto-consumer, crypto</t>
  </si>
  <si>
    <t>digital-services-crypto</t>
  </si>
  <si>
    <t>leadinfo</t>
  </si>
  <si>
    <t>enrichment, lead-enrichment-batch</t>
  </si>
  <si>
    <t>account-iam</t>
  </si>
  <si>
    <t>Verificar nome mais semantico / lead-enrichment-batch não é feito deploy, alterar uri do job no Rundeck</t>
  </si>
  <si>
    <t>partner</t>
  </si>
  <si>
    <t>delete</t>
  </si>
  <si>
    <t>DELETAR</t>
  </si>
  <si>
    <t>drive</t>
  </si>
  <si>
    <t>drive, drive-transfer</t>
  </si>
  <si>
    <t>verifyId</t>
  </si>
  <si>
    <t>iam</t>
  </si>
  <si>
    <t>iam-batch, iam-event-payload, iam-legacy, identity-migration</t>
  </si>
  <si>
    <t>account</t>
  </si>
  <si>
    <t>account, account-event-payload, account-webhook, organization-structure, services-account</t>
  </si>
  <si>
    <t>iamSaml</t>
  </si>
  <si>
    <t>iam-saml-integration</t>
  </si>
  <si>
    <t>adChanges</t>
  </si>
  <si>
    <t>ad-changes, ad-changes-consumer, ad-gerenciador-mapping</t>
  </si>
  <si>
    <t>otp</t>
  </si>
  <si>
    <t>driveWebhook</t>
  </si>
  <si>
    <t>Base vazia, só criar a base no document e mudar a string</t>
  </si>
  <si>
    <t>iamlegacy</t>
  </si>
  <si>
    <t>emailCommunication</t>
  </si>
  <si>
    <t>dacourses</t>
  </si>
  <si>
    <t>consultafacil</t>
  </si>
  <si>
    <t>consultafacilreports</t>
  </si>
  <si>
    <t>consultafacilsecurity</t>
  </si>
  <si>
    <t>digitalCertificateWebhook</t>
  </si>
  <si>
    <t>digital-certificate-webhook</t>
  </si>
  <si>
    <t>quartz</t>
  </si>
  <si>
    <t>order-session-batch</t>
  </si>
  <si>
    <t>orderBalanceWebhook</t>
  </si>
  <si>
    <t>order-balance-webhook</t>
  </si>
  <si>
    <t>shoppingcart</t>
  </si>
  <si>
    <t>shopping-cart-management</t>
  </si>
  <si>
    <t>checkout</t>
  </si>
  <si>
    <t>checkout-management</t>
  </si>
  <si>
    <t>showcase</t>
  </si>
  <si>
    <t>showcase-management</t>
  </si>
  <si>
    <t>salesFraudScreening</t>
  </si>
  <si>
    <t>fraud-screening-job, sales-fraud-screening</t>
  </si>
  <si>
    <t>ordersession</t>
  </si>
  <si>
    <t>order-session-batch, order-session-management, order-session-notification-consumer</t>
  </si>
  <si>
    <t>marketingcampaign</t>
  </si>
  <si>
    <t>marketing-campaign</t>
  </si>
  <si>
    <t>payment</t>
  </si>
  <si>
    <t>orderSessionWebhook</t>
  </si>
  <si>
    <t>order-session-webhook</t>
  </si>
  <si>
    <t>notification</t>
  </si>
  <si>
    <t>digital-notification</t>
  </si>
  <si>
    <t>mkt-automation</t>
  </si>
  <si>
    <t>orderbalance</t>
  </si>
  <si>
    <t xml:space="preserve"> order-balance</t>
  </si>
  <si>
    <t>Migração EKS</t>
  </si>
  <si>
    <t>Application</t>
  </si>
  <si>
    <t>Openshift Namespace</t>
  </si>
  <si>
    <t>EKS Namespace</t>
  </si>
  <si>
    <t>Observação</t>
  </si>
  <si>
    <t>experian-enrichment-domain-services</t>
  </si>
  <si>
    <t>digital-account-services</t>
  </si>
  <si>
    <t>experian-lead-enrichment-batch-services</t>
  </si>
  <si>
    <t>experian-leads-dw-domain-services</t>
  </si>
  <si>
    <t>experian-account-domain-services</t>
  </si>
  <si>
    <t>digital-services-account</t>
  </si>
  <si>
    <t>experian-account-event-payload-domain-services</t>
  </si>
  <si>
    <t>experian-account-migration-domain-services</t>
  </si>
  <si>
    <t>experian-account-webhook-domain-services</t>
  </si>
  <si>
    <t>experian-integration-account-dispatch-domain-services</t>
  </si>
  <si>
    <t>experian-organizational-structure-domain-services</t>
  </si>
  <si>
    <t>experian-service-account-domain-services</t>
  </si>
  <si>
    <t>ok</t>
  </si>
  <si>
    <t>experian-marketing-automation-builder</t>
  </si>
  <si>
    <t>experian-marketing-automation-consumer</t>
  </si>
  <si>
    <t>experian-catalogue-domain-services</t>
  </si>
  <si>
    <t>experian-wallet-domain-services</t>
  </si>
  <si>
    <t>experian-checkout-management-domain-services</t>
  </si>
  <si>
    <t>seef-prd</t>
  </si>
  <si>
    <t>experian-digital-commerce-spring-boot-admin</t>
  </si>
  <si>
    <t>experian-fraud-screening-job</t>
  </si>
  <si>
    <t>experian-invoice-domain-services</t>
  </si>
  <si>
    <t>experian-marketing-campaign-domain-services</t>
  </si>
  <si>
    <t>experian-order-balance-domain-services</t>
  </si>
  <si>
    <t>experian-order-balance-webhook</t>
  </si>
  <si>
    <t>experian-order-session-batch-domain-services</t>
  </si>
  <si>
    <t>experian-order-session-management-domain-services</t>
  </si>
  <si>
    <t>experian-order-session-notification-consumer</t>
  </si>
  <si>
    <t>experian-order-session-webhook</t>
  </si>
  <si>
    <t>experian-payment-domain-services</t>
  </si>
  <si>
    <t>experian-sales-fraud-screening-domain-services</t>
  </si>
  <si>
    <t>experian-shopping-cart-management-domain-services</t>
  </si>
  <si>
    <t>experian-showcase-management-domain-services</t>
  </si>
  <si>
    <t>experian-email-communication-domain-services</t>
  </si>
  <si>
    <t>digital-communication-services</t>
  </si>
  <si>
    <t>experian-email-communication-webhook</t>
  </si>
  <si>
    <t>experian-sendgrid-domain-services</t>
  </si>
  <si>
    <t>experian-sms-dispatch-domain-services</t>
  </si>
  <si>
    <t>experian-sms-domain-services</t>
  </si>
  <si>
    <t>experian-sms-webhook</t>
  </si>
  <si>
    <t>experian-iam-batch</t>
  </si>
  <si>
    <t>digital-services-identity</t>
  </si>
  <si>
    <t>digital-identity-services</t>
  </si>
  <si>
    <t>experian-iam-domain-services</t>
  </si>
  <si>
    <t>experian-iam-event-payload-domain-services</t>
  </si>
  <si>
    <t>experian-iam-legacy-domain-services</t>
  </si>
  <si>
    <t>experian-iam-saml-integration-domain-services</t>
  </si>
  <si>
    <t>experian-identity-migration-domain-services</t>
  </si>
  <si>
    <t>experian-integration-iam-dispatch-domain-services</t>
  </si>
  <si>
    <t>experian-digital-certificate-webhook</t>
  </si>
  <si>
    <t>experian-email-validation-domain-services</t>
  </si>
  <si>
    <t>experian-phone-validation-domain-services</t>
  </si>
  <si>
    <t>experian-validation-domain-services</t>
  </si>
  <si>
    <t>experian-kba-domain-services</t>
  </si>
  <si>
    <t>digital-services-kyc</t>
  </si>
  <si>
    <t>experian-person-validation-domain-services</t>
  </si>
  <si>
    <t>experian-verifyid-domain-services</t>
  </si>
  <si>
    <t>experian-switching-domain-services</t>
  </si>
  <si>
    <t>digital-product-services</t>
  </si>
  <si>
    <t>experian-notification-domain-services</t>
  </si>
  <si>
    <t>digital-services-notification</t>
  </si>
  <si>
    <t>experian-notification-settings-domain-services</t>
  </si>
  <si>
    <t>experian-product-access-domain-services</t>
  </si>
  <si>
    <t>digital-services-product</t>
  </si>
  <si>
    <t>experian-product-platform-domain-services</t>
  </si>
  <si>
    <t>experian-ad-changes</t>
  </si>
  <si>
    <t>experian-ad-changes-consumer</t>
  </si>
  <si>
    <t>experian-ad-gerenciador-mapping-domain-services</t>
  </si>
  <si>
    <t>experian-otp-domain-services</t>
  </si>
  <si>
    <t>experian-policy-domain-services</t>
  </si>
  <si>
    <t>experian-policy-settings-domain-services</t>
  </si>
  <si>
    <t>experian-account-backoff</t>
  </si>
  <si>
    <t>Verificar possibilidade de alterar o nome da aplicação</t>
  </si>
  <si>
    <t>experian-device-domain-services</t>
  </si>
  <si>
    <t>experian-vault-domain-services</t>
  </si>
  <si>
    <t>experian-crypto-consumer-domain-services</t>
  </si>
  <si>
    <t>experian-crypto-domain-services</t>
  </si>
  <si>
    <t>experian-kms-domain-services</t>
  </si>
  <si>
    <t>digital-data-security</t>
  </si>
  <si>
    <t>experian-drive-domain-services</t>
  </si>
  <si>
    <t>digital-storage-services</t>
  </si>
  <si>
    <t>experian-drive-transfer-domain-services</t>
  </si>
  <si>
    <t>experian-drive-webhook</t>
  </si>
  <si>
    <t>experian-identity-provider-frontend</t>
  </si>
  <si>
    <t>S3 Migration</t>
  </si>
  <si>
    <t>experian-product-menu</t>
  </si>
  <si>
    <t>experian-dasp-frontend</t>
  </si>
  <si>
    <t>manuais-e-treinamentos</t>
  </si>
  <si>
    <t>digital-services-frontend</t>
  </si>
  <si>
    <t>experian-drive-v2</t>
  </si>
  <si>
    <t xml:space="preserve"> experian-account-backoffice-frontend</t>
  </si>
  <si>
    <t>experian-call-center-domain-services</t>
  </si>
  <si>
    <t>experian-digital-organizational-structure-domain-services</t>
  </si>
  <si>
    <t>experian-drive-transfer-v2-domain-services</t>
  </si>
  <si>
    <t>Não há necessidade de migrar, library usada no Rundeck</t>
  </si>
  <si>
    <t>Concluídos</t>
  </si>
  <si>
    <t>Migração RabbitMQ</t>
  </si>
  <si>
    <t>Queue</t>
  </si>
  <si>
    <t>Source RabbitMQ Cluster</t>
  </si>
  <si>
    <t>Target Amazon MQ - Virtual Hosts (Unique Cluster)</t>
  </si>
  <si>
    <t>EmailValidationQueue</t>
  </si>
  <si>
    <t>rabbit@ip-10-97-55-141.sa-east-1.compute.internal</t>
  </si>
  <si>
    <t>/security</t>
  </si>
  <si>
    <t>adchanges-messages</t>
  </si>
  <si>
    <t>digital-certificate-event</t>
  </si>
  <si>
    <t>digital-certificate-event-dispatch</t>
  </si>
  <si>
    <t>digital-certificate-event-dispatch-dlq</t>
  </si>
  <si>
    <t>digital-certificate-event-dlq</t>
  </si>
  <si>
    <t>dispatch-iam</t>
  </si>
  <si>
    <t>/identity</t>
  </si>
  <si>
    <t>event-iam</t>
  </si>
  <si>
    <t>dispatch-account</t>
  </si>
  <si>
    <t>/account</t>
  </si>
  <si>
    <t>dispatch-account-dlq</t>
  </si>
  <si>
    <t>event-account</t>
  </si>
  <si>
    <t>dispatch-order-session</t>
  </si>
  <si>
    <t>rabbit@ip-10-97-55-243.sa-east-1.compute.internal</t>
  </si>
  <si>
    <t>event-order-session</t>
  </si>
  <si>
    <t>event-third-party-order-process</t>
  </si>
  <si>
    <t>/e-commerce</t>
  </si>
  <si>
    <t>event-third-party-order-process-wait</t>
  </si>
  <si>
    <t>event-third-party-orders-process</t>
  </si>
  <si>
    <t>order-balance-event</t>
  </si>
  <si>
    <t>order-balance-event-dispatcher</t>
  </si>
  <si>
    <t>order-balance-event-dispatcher-dlq</t>
  </si>
  <si>
    <t>order-balance-event-dlq</t>
  </si>
  <si>
    <t>order-session-event</t>
  </si>
  <si>
    <t>order-session-event-dispatcher</t>
  </si>
  <si>
    <t>order-session-event-dispatcher-dlq</t>
  </si>
  <si>
    <t>order-session-event-dlq</t>
  </si>
  <si>
    <t>Not found</t>
  </si>
  <si>
    <t>event-crypto</t>
  </si>
  <si>
    <t>rabbit@ip-10-97-55-123.sa-east-1.compute.internal</t>
  </si>
  <si>
    <t>drive-event</t>
  </si>
  <si>
    <t>rabbit@ip-10-97-55-11.sa-east-1.compute.internal</t>
  </si>
  <si>
    <t>/storage</t>
  </si>
  <si>
    <t>drive-event-dispatcher</t>
  </si>
  <si>
    <t>drive-event-dispatcher-dlq</t>
  </si>
  <si>
    <t>drive-event-dlq</t>
  </si>
  <si>
    <t>email-communication-event</t>
  </si>
  <si>
    <t>/communication</t>
  </si>
  <si>
    <t>email-communication-event-dispatch</t>
  </si>
  <si>
    <t>email-communication-event-dispatch-dlq</t>
  </si>
  <si>
    <t>email-communication-event-dlq</t>
  </si>
  <si>
    <t>sms-messages</t>
  </si>
  <si>
    <t>sms-messages-callback</t>
  </si>
  <si>
    <t>DOM</t>
  </si>
  <si>
    <t>SEG</t>
  </si>
  <si>
    <t>TER</t>
  </si>
  <si>
    <t>QUA</t>
  </si>
  <si>
    <t>QUI</t>
  </si>
  <si>
    <t>SEX</t>
  </si>
  <si>
    <t>SAB</t>
  </si>
  <si>
    <t>Ago</t>
  </si>
  <si>
    <t>(1) 918GB, tempo estimado de 24-36h</t>
  </si>
  <si>
    <t>Set</t>
  </si>
  <si>
    <t>platform product crypto</t>
  </si>
  <si>
    <t>callcenter leadinfo</t>
  </si>
  <si>
    <t>wallet catalogue</t>
  </si>
  <si>
    <t>verifyId personValidation kba</t>
  </si>
  <si>
    <t>emailValidation phoneValidation</t>
  </si>
  <si>
    <t>validationDomain driveWebhook sms</t>
  </si>
  <si>
    <t>device(1)</t>
  </si>
  <si>
    <t>Out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</si>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</sst>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CC339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C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6" fillId="0" borderId="0"/>
    <xf numFmtId="0" fontId="11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 applyAlignment="1">
      <alignment horizontal="center"/>
    </xf>
    <xf numFmtId="0" fontId="0" fillId="2" borderId="0" xfId="0" applyFill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9" fontId="7" fillId="2" borderId="0" xfId="1" applyFont="1" applyFill="1"/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vertical="center"/>
    </xf>
    <xf numFmtId="0" fontId="0" fillId="3" borderId="0" xfId="0" applyFill="1"/>
    <xf numFmtId="0" fontId="8" fillId="4" borderId="0" xfId="0" applyFont="1" applyFill="1" applyAlignment="1">
      <alignment horizontal="center"/>
    </xf>
    <xf numFmtId="0" fontId="0" fillId="4" borderId="0" xfId="0" applyFill="1"/>
    <xf numFmtId="0" fontId="8" fillId="5" borderId="1" xfId="0" applyFont="1" applyFill="1" applyBorder="1" applyAlignment="1">
      <alignment horizontal="center"/>
    </xf>
    <xf numFmtId="0" fontId="0" fillId="5" borderId="2" xfId="0" applyFill="1" applyBorder="1"/>
    <xf numFmtId="0" fontId="2" fillId="5" borderId="2" xfId="0" applyFont="1" applyFill="1" applyBorder="1"/>
    <xf numFmtId="0" fontId="0" fillId="5" borderId="3" xfId="0" applyFill="1" applyBorder="1"/>
    <xf numFmtId="0" fontId="8" fillId="0" borderId="1" xfId="0" applyFont="1" applyBorder="1" applyAlignment="1">
      <alignment horizontal="center"/>
    </xf>
    <xf numFmtId="0" fontId="0" fillId="0" borderId="2" xfId="0" applyBorder="1"/>
    <xf numFmtId="0" fontId="2" fillId="0" borderId="2" xfId="0" applyFont="1" applyBorder="1"/>
    <xf numFmtId="0" fontId="0" fillId="0" borderId="3" xfId="0" applyBorder="1"/>
    <xf numFmtId="0" fontId="5" fillId="7" borderId="0" xfId="0" applyFont="1" applyFill="1"/>
    <xf numFmtId="0" fontId="5" fillId="8" borderId="0" xfId="0" applyFont="1" applyFill="1"/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/>
    <xf numFmtId="0" fontId="7" fillId="6" borderId="6" xfId="0" applyFont="1" applyFill="1" applyBorder="1"/>
    <xf numFmtId="14" fontId="0" fillId="0" borderId="0" xfId="0" applyNumberFormat="1"/>
    <xf numFmtId="0" fontId="10" fillId="10" borderId="0" xfId="0" applyFont="1" applyFill="1"/>
    <xf numFmtId="0" fontId="7" fillId="10" borderId="0" xfId="0" applyFont="1" applyFill="1"/>
    <xf numFmtId="14" fontId="10" fillId="10" borderId="0" xfId="0" applyNumberFormat="1" applyFont="1" applyFill="1"/>
    <xf numFmtId="0" fontId="0" fillId="0" borderId="0" xfId="0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14" borderId="7" xfId="0" applyFill="1" applyBorder="1"/>
    <xf numFmtId="0" fontId="11" fillId="0" borderId="0" xfId="3" applyAlignment="1">
      <alignment horizontal="left" vertical="center" indent="1"/>
    </xf>
    <xf numFmtId="0" fontId="0" fillId="10" borderId="0" xfId="0" applyFill="1"/>
    <xf numFmtId="0" fontId="4" fillId="10" borderId="0" xfId="0" applyFont="1" applyFill="1"/>
    <xf numFmtId="14" fontId="0" fillId="10" borderId="0" xfId="0" applyNumberFormat="1" applyFill="1"/>
    <xf numFmtId="0" fontId="10" fillId="0" borderId="0" xfId="0" applyFont="1"/>
    <xf numFmtId="14" fontId="7" fillId="10" borderId="0" xfId="0" applyNumberFormat="1" applyFont="1" applyFill="1"/>
    <xf numFmtId="0" fontId="9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0" fontId="12" fillId="10" borderId="0" xfId="0" applyFont="1" applyFill="1"/>
    <xf numFmtId="0" fontId="13" fillId="0" borderId="0" xfId="0" applyFont="1"/>
    <xf numFmtId="0" fontId="13" fillId="10" borderId="0" xfId="0" applyFont="1" applyFill="1"/>
    <xf numFmtId="0" fontId="14" fillId="0" borderId="0" xfId="0" applyFont="1"/>
    <xf numFmtId="0" fontId="14" fillId="10" borderId="0" xfId="0" applyFont="1" applyFill="1"/>
  </cellXfs>
  <cellStyles count="4">
    <cellStyle name="Hiperlink" xfId="3" builtinId="8"/>
    <cellStyle name="Normal" xfId="0" builtinId="0"/>
    <cellStyle name="Normal 3" xfId="2" xr:uid="{ED38ABEA-2CA1-4037-B754-06828B9FF31E}"/>
    <cellStyle name="Porcentagem" xfId="1" builtinId="5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strike val="0"/>
        <outline val="0"/>
        <shadow val="0"/>
        <u val="none"/>
        <vertAlign val="baseline"/>
        <sz val="11"/>
        <color rgb="FFCC3399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</dxf>
  </dxfs>
  <tableStyles count="0" defaultTableStyle="TableStyleMedium2" defaultPivotStyle="PivotStyleLight16"/>
  <colors>
    <mruColors>
      <color rgb="FF800080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F9F496F-5286-484A-905B-C2211F82345D}">
    <nsvFilter filterId="{09E14960-0A60-4DC3-9F0E-B83FDEB7145F}" ref="A1:L50" tableId="1">
      <sortRules>
        <sortRule colId="9" id="{18AC041D-BA5B-4260-93A2-3E1D35CCEC89}">
          <sortCondition ref="J1:J50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14960-0A60-4DC3-9F0E-B83FDEB7145F}" name="Tabela1" displayName="Tabela1" ref="A1:L50" totalsRowShown="0">
  <autoFilter ref="A1:L50" xr:uid="{09E14960-0A60-4DC3-9F0E-B83FDEB7145F}"/>
  <sortState xmlns:xlrd2="http://schemas.microsoft.com/office/spreadsheetml/2017/richdata2" ref="A2:L50">
    <sortCondition ref="E1:E50"/>
  </sortState>
  <tableColumns count="12">
    <tableColumn id="1" xr3:uid="{08E72D6A-3EBC-4CF4-89FC-1CB9E09CA938}" name="Database"/>
    <tableColumn id="11" xr3:uid="{46E2A84A-EA20-4C42-B4C2-7421BF20448D}" name="Apps (experian-*-domain-services/webhook)"/>
    <tableColumn id="12" xr3:uid="{25203934-0315-4D2D-8C9B-6454FC414304}" name="App com certificado OK"/>
    <tableColumn id="2" xr3:uid="{05B42389-29F9-4979-BB94-0850DFC4034C}" name="Source Cluster"/>
    <tableColumn id="3" xr3:uid="{13B89A89-61A3-47E2-937E-6E794FAEB073}" name="Target Cluster"/>
    <tableColumn id="6" xr3:uid="{54120FB4-65FF-4B2D-8404-84DB029EE36A}" name="Actual Volume (MB)" dataDxfId="7"/>
    <tableColumn id="7" xr3:uid="{63D428F4-2B18-474E-BA93-DAAB0983EB11}" name="Business criticality"/>
    <tableColumn id="8" xr3:uid="{00B56C51-2B1D-4FF6-902B-FAE7FC31C0DC}" name="Status" dataDxfId="6"/>
    <tableColumn id="4" xr3:uid="{DEF3ACE2-4A32-413E-A1FF-0864A9AF6563}" name="Obs"/>
    <tableColumn id="9" xr3:uid="{18AC041D-BA5B-4260-93A2-3E1D35CCEC89}" name="Data Migração" dataDxfId="5"/>
    <tableColumn id="10" xr3:uid="{B668604C-BD23-4D3F-BC37-4FB06B04637F}" name="Owner Migração"/>
    <tableColumn id="5" xr3:uid="{8CF7E35E-AFA2-4D30-AD3C-92AA3CB0D0BF}" name="Tech Le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584DAF-C7D6-47BD-AA61-46E042CFBBE5}" name="Tabela4" displayName="Tabela4" ref="A3:E84" totalsRowShown="0">
  <autoFilter ref="A3:E84" xr:uid="{7D584DAF-C7D6-47BD-AA61-46E042CFBBE5}"/>
  <sortState xmlns:xlrd2="http://schemas.microsoft.com/office/spreadsheetml/2017/richdata2" ref="B4:E76">
    <sortCondition ref="D3:D76"/>
  </sortState>
  <tableColumns count="5">
    <tableColumn id="5" xr3:uid="{3D8B87EB-A1E2-4045-A016-C313EA25E47F}" name="Status" dataDxfId="4"/>
    <tableColumn id="1" xr3:uid="{9AE141F6-BB5D-4710-A708-EC17E9005A24}" name="Application"/>
    <tableColumn id="2" xr3:uid="{23E91EDE-E9A2-4B0C-B867-EA508C4DE08C}" name="Openshift Namespace"/>
    <tableColumn id="3" xr3:uid="{FABC5822-517C-4F64-93A1-77172D2A247F}" name="EKS Namespace"/>
    <tableColumn id="4" xr3:uid="{2B97461A-7FFA-44A9-BEF1-3BCEAD610C7E}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E15E5D-7519-4F4C-B068-2B4422D73177}" name="Tabela5" displayName="Tabela5" ref="A3:E39" totalsRowShown="0" headerRowDxfId="3" headerRowBorderDxfId="2" tableBorderDxfId="1">
  <autoFilter ref="A3:E39" xr:uid="{AAE15E5D-7519-4F4C-B068-2B4422D73177}"/>
  <tableColumns count="5">
    <tableColumn id="1" xr3:uid="{EC1F351E-78C3-4021-A70A-52FDCD8E1978}" name="Status"/>
    <tableColumn id="2" xr3:uid="{09B1B6B6-DD7B-404B-A0FA-1827421318F4}" name="Queue"/>
    <tableColumn id="3" xr3:uid="{BB5F2D6E-6EE5-44CD-B929-3D4F39BF4B8F}" name="Source RabbitMQ Cluster"/>
    <tableColumn id="4" xr3:uid="{E2522CF2-41F7-4158-B6E1-85354CA73A0C}" name="Target Amazon MQ - Virtual Hosts (Unique Cluster)" dataDxfId="0"/>
    <tableColumn id="5" xr3:uid="{1F78B32D-990A-4A8E-A41C-5933383E5EDA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code.experian.local/projects/DSBR/repos/experian-ad-changes-consumer/browse" TargetMode="External"/><Relationship Id="rId1" Type="http://schemas.openxmlformats.org/officeDocument/2006/relationships/hyperlink" Target="https://code.experian.local/projects/DSBR/repos/experian-identity-migration-domain-services/brow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E39B-87C7-4B86-847D-7907666E7127}">
  <dimension ref="A1:L54"/>
  <sheetViews>
    <sheetView tabSelected="1" zoomScaleNormal="100" workbookViewId="0">
      <selection activeCell="E26" sqref="E26"/>
    </sheetView>
  </sheetViews>
  <sheetFormatPr defaultRowHeight="15" x14ac:dyDescent="0.25"/>
  <cols>
    <col min="1" max="1" width="23.28515625" bestFit="1" customWidth="1"/>
    <col min="2" max="2" width="65.42578125" bestFit="1" customWidth="1"/>
    <col min="3" max="3" width="23.42578125" bestFit="1" customWidth="1"/>
    <col min="4" max="4" width="24.5703125" customWidth="1"/>
    <col min="5" max="5" width="25.42578125" bestFit="1" customWidth="1"/>
    <col min="6" max="6" width="25.42578125" customWidth="1"/>
    <col min="7" max="8" width="20" customWidth="1"/>
    <col min="9" max="9" width="33" customWidth="1"/>
    <col min="10" max="10" width="15.5703125" bestFit="1" customWidth="1"/>
    <col min="11" max="11" width="17.42578125" bestFit="1" customWidth="1"/>
    <col min="12" max="12" width="12.5703125" bestFit="1" customWidth="1"/>
  </cols>
  <sheetData>
    <row r="1" spans="1:12" ht="13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25" customHeight="1" x14ac:dyDescent="0.25">
      <c r="A2" t="s">
        <v>83</v>
      </c>
      <c r="B2" t="s">
        <v>84</v>
      </c>
      <c r="C2" t="s">
        <v>23</v>
      </c>
      <c r="D2" t="s">
        <v>73</v>
      </c>
      <c r="E2" s="61" t="s">
        <v>73</v>
      </c>
      <c r="F2">
        <v>173056</v>
      </c>
      <c r="G2" s="1" t="s">
        <v>17</v>
      </c>
      <c r="H2" s="1" t="s">
        <v>25</v>
      </c>
      <c r="J2" s="29"/>
    </row>
    <row r="3" spans="1:12" ht="14.25" customHeight="1" x14ac:dyDescent="0.25">
      <c r="A3" t="s">
        <v>81</v>
      </c>
      <c r="B3" t="s">
        <v>82</v>
      </c>
      <c r="C3" t="s">
        <v>23</v>
      </c>
      <c r="D3" t="s">
        <v>73</v>
      </c>
      <c r="E3" s="61" t="s">
        <v>73</v>
      </c>
      <c r="F3">
        <v>3145728</v>
      </c>
      <c r="G3" s="1" t="s">
        <v>17</v>
      </c>
      <c r="H3" s="1" t="s">
        <v>25</v>
      </c>
      <c r="J3" s="29"/>
    </row>
    <row r="4" spans="1:12" x14ac:dyDescent="0.25">
      <c r="A4" t="s">
        <v>71</v>
      </c>
      <c r="B4" t="s">
        <v>72</v>
      </c>
      <c r="C4" t="s">
        <v>23</v>
      </c>
      <c r="D4" t="s">
        <v>24</v>
      </c>
      <c r="E4" s="61" t="s">
        <v>73</v>
      </c>
      <c r="F4">
        <v>36864</v>
      </c>
      <c r="G4" s="2" t="s">
        <v>35</v>
      </c>
      <c r="H4" s="1" t="s">
        <v>25</v>
      </c>
      <c r="I4" t="s">
        <v>74</v>
      </c>
      <c r="J4" s="29"/>
    </row>
    <row r="5" spans="1:12" ht="14.25" customHeight="1" x14ac:dyDescent="0.25">
      <c r="A5" s="30" t="s">
        <v>121</v>
      </c>
      <c r="B5" s="30"/>
      <c r="C5" s="30"/>
      <c r="D5" s="30" t="s">
        <v>121</v>
      </c>
      <c r="E5" s="62" t="s">
        <v>73</v>
      </c>
      <c r="F5" s="30">
        <v>2048</v>
      </c>
      <c r="G5" s="31" t="s">
        <v>29</v>
      </c>
      <c r="H5" s="31" t="s">
        <v>18</v>
      </c>
      <c r="I5" s="30"/>
      <c r="J5" s="32"/>
      <c r="K5" s="30"/>
    </row>
    <row r="6" spans="1:12" ht="14.25" customHeight="1" x14ac:dyDescent="0.25">
      <c r="A6" s="30" t="s">
        <v>27</v>
      </c>
      <c r="B6" s="30"/>
      <c r="C6" s="30"/>
      <c r="D6" s="30" t="s">
        <v>24</v>
      </c>
      <c r="E6" s="31" t="s">
        <v>28</v>
      </c>
      <c r="F6" s="30">
        <v>324</v>
      </c>
      <c r="G6" s="31" t="s">
        <v>29</v>
      </c>
      <c r="H6" s="31" t="s">
        <v>18</v>
      </c>
      <c r="I6" s="30"/>
      <c r="J6" s="32">
        <v>44804</v>
      </c>
      <c r="K6" s="30" t="s">
        <v>30</v>
      </c>
    </row>
    <row r="7" spans="1:12" ht="14.25" customHeight="1" x14ac:dyDescent="0.25">
      <c r="A7" s="30" t="s">
        <v>94</v>
      </c>
      <c r="B7" s="30"/>
      <c r="C7" s="30"/>
      <c r="D7" s="30" t="s">
        <v>34</v>
      </c>
      <c r="E7" s="31" t="s">
        <v>28</v>
      </c>
      <c r="F7" s="30"/>
      <c r="G7" s="30" t="s">
        <v>32</v>
      </c>
      <c r="H7" s="31" t="s">
        <v>18</v>
      </c>
      <c r="I7" s="30"/>
      <c r="J7" s="32"/>
      <c r="K7" s="30"/>
    </row>
    <row r="8" spans="1:12" ht="14.25" customHeight="1" x14ac:dyDescent="0.25">
      <c r="A8" s="30" t="s">
        <v>31</v>
      </c>
      <c r="B8" s="30"/>
      <c r="C8" s="30"/>
      <c r="D8" s="30" t="s">
        <v>24</v>
      </c>
      <c r="E8" s="31" t="s">
        <v>28</v>
      </c>
      <c r="F8" s="30"/>
      <c r="G8" s="30" t="s">
        <v>32</v>
      </c>
      <c r="H8" s="31" t="s">
        <v>18</v>
      </c>
      <c r="I8" s="31"/>
      <c r="J8" s="32">
        <v>44804</v>
      </c>
      <c r="K8" s="30" t="s">
        <v>30</v>
      </c>
    </row>
    <row r="9" spans="1:12" ht="14.25" customHeight="1" x14ac:dyDescent="0.25">
      <c r="A9" s="30" t="s">
        <v>62</v>
      </c>
      <c r="B9" s="30" t="s">
        <v>62</v>
      </c>
      <c r="C9" s="30" t="s">
        <v>14</v>
      </c>
      <c r="D9" s="30" t="s">
        <v>24</v>
      </c>
      <c r="E9" s="30" t="s">
        <v>28</v>
      </c>
      <c r="F9" s="30">
        <v>47</v>
      </c>
      <c r="G9" s="30" t="s">
        <v>38</v>
      </c>
      <c r="H9" s="31" t="s">
        <v>18</v>
      </c>
      <c r="I9" s="31"/>
      <c r="J9" s="31"/>
      <c r="K9" s="31"/>
      <c r="L9" s="31"/>
    </row>
    <row r="10" spans="1:12" x14ac:dyDescent="0.25">
      <c r="A10" s="30" t="s">
        <v>95</v>
      </c>
      <c r="B10" s="30"/>
      <c r="C10" s="30"/>
      <c r="D10" s="30" t="s">
        <v>34</v>
      </c>
      <c r="E10" s="31" t="s">
        <v>76</v>
      </c>
      <c r="F10" s="30"/>
      <c r="G10" s="30" t="s">
        <v>32</v>
      </c>
      <c r="H10" s="31" t="s">
        <v>18</v>
      </c>
      <c r="I10" s="30"/>
      <c r="J10" s="32"/>
      <c r="K10" s="30"/>
    </row>
    <row r="11" spans="1:12" x14ac:dyDescent="0.25">
      <c r="A11" s="30" t="s">
        <v>96</v>
      </c>
      <c r="B11" s="30"/>
      <c r="C11" s="30"/>
      <c r="D11" s="30" t="s">
        <v>34</v>
      </c>
      <c r="E11" s="31" t="s">
        <v>76</v>
      </c>
      <c r="F11" s="30"/>
      <c r="G11" s="30" t="s">
        <v>32</v>
      </c>
      <c r="H11" s="31" t="s">
        <v>18</v>
      </c>
      <c r="I11" s="30"/>
      <c r="J11" s="32"/>
      <c r="K11" s="30"/>
    </row>
    <row r="12" spans="1:12" ht="14.25" customHeight="1" x14ac:dyDescent="0.25">
      <c r="A12" s="30" t="s">
        <v>97</v>
      </c>
      <c r="B12" s="30"/>
      <c r="C12" s="30"/>
      <c r="D12" s="30" t="s">
        <v>34</v>
      </c>
      <c r="E12" s="31" t="s">
        <v>76</v>
      </c>
      <c r="F12" s="30"/>
      <c r="G12" s="30" t="s">
        <v>32</v>
      </c>
      <c r="H12" s="31" t="s">
        <v>18</v>
      </c>
      <c r="I12" s="30"/>
      <c r="J12" s="32"/>
      <c r="K12" s="30"/>
    </row>
    <row r="13" spans="1:12" ht="14.25" customHeight="1" x14ac:dyDescent="0.25">
      <c r="A13" s="30" t="s">
        <v>92</v>
      </c>
      <c r="B13" s="30"/>
      <c r="C13" s="30"/>
      <c r="D13" s="30" t="s">
        <v>24</v>
      </c>
      <c r="E13" s="31" t="s">
        <v>76</v>
      </c>
      <c r="F13" s="31"/>
      <c r="G13" s="30" t="s">
        <v>32</v>
      </c>
      <c r="H13" s="31" t="s">
        <v>18</v>
      </c>
      <c r="I13" s="30"/>
      <c r="J13" s="32"/>
      <c r="K13" s="30"/>
    </row>
    <row r="14" spans="1:12" ht="14.25" customHeight="1" x14ac:dyDescent="0.25">
      <c r="A14" s="53" t="s">
        <v>75</v>
      </c>
      <c r="B14" s="53"/>
      <c r="C14" s="53"/>
      <c r="D14" s="53" t="s">
        <v>73</v>
      </c>
      <c r="E14" s="53" t="s">
        <v>76</v>
      </c>
      <c r="F14" s="53"/>
      <c r="G14" s="54" t="s">
        <v>38</v>
      </c>
      <c r="H14" s="31" t="s">
        <v>18</v>
      </c>
      <c r="I14" s="53" t="s">
        <v>77</v>
      </c>
      <c r="J14" s="55"/>
      <c r="K14" s="53"/>
    </row>
    <row r="15" spans="1:12" x14ac:dyDescent="0.25">
      <c r="A15" s="30" t="s">
        <v>80</v>
      </c>
      <c r="B15" s="30"/>
      <c r="C15" s="30"/>
      <c r="D15" s="30" t="s">
        <v>73</v>
      </c>
      <c r="E15" s="31" t="s">
        <v>76</v>
      </c>
      <c r="F15" s="30"/>
      <c r="G15" s="30" t="s">
        <v>32</v>
      </c>
      <c r="H15" s="31" t="s">
        <v>18</v>
      </c>
      <c r="I15" s="30"/>
      <c r="J15" s="32"/>
      <c r="K15" s="30"/>
    </row>
    <row r="16" spans="1:12" x14ac:dyDescent="0.25">
      <c r="A16" s="30" t="s">
        <v>33</v>
      </c>
      <c r="B16" s="30" t="s">
        <v>33</v>
      </c>
      <c r="C16" s="30" t="s">
        <v>14</v>
      </c>
      <c r="D16" s="30" t="s">
        <v>24</v>
      </c>
      <c r="E16" s="60" t="s">
        <v>34</v>
      </c>
      <c r="F16" s="31">
        <v>1</v>
      </c>
      <c r="G16" s="31" t="s">
        <v>35</v>
      </c>
      <c r="H16" s="31" t="s">
        <v>18</v>
      </c>
      <c r="I16" s="30"/>
      <c r="J16" s="32">
        <v>44809</v>
      </c>
      <c r="K16" s="30" t="s">
        <v>30</v>
      </c>
    </row>
    <row r="17" spans="1:12" x14ac:dyDescent="0.25">
      <c r="A17" t="s">
        <v>106</v>
      </c>
      <c r="B17" t="s">
        <v>107</v>
      </c>
      <c r="C17" t="s">
        <v>14</v>
      </c>
      <c r="D17" t="s">
        <v>34</v>
      </c>
      <c r="E17" s="61" t="s">
        <v>34</v>
      </c>
      <c r="F17">
        <v>820</v>
      </c>
      <c r="G17" s="4" t="s">
        <v>38</v>
      </c>
      <c r="H17" s="1" t="s">
        <v>25</v>
      </c>
      <c r="J17" s="29"/>
    </row>
    <row r="18" spans="1:12" x14ac:dyDescent="0.25">
      <c r="A18" t="s">
        <v>114</v>
      </c>
      <c r="B18" t="s">
        <v>115</v>
      </c>
      <c r="C18" t="s">
        <v>14</v>
      </c>
      <c r="D18" t="s">
        <v>34</v>
      </c>
      <c r="E18" s="61" t="s">
        <v>34</v>
      </c>
      <c r="F18">
        <v>5120</v>
      </c>
      <c r="G18" s="2" t="s">
        <v>35</v>
      </c>
      <c r="H18" s="1" t="s">
        <v>25</v>
      </c>
      <c r="J18" s="29"/>
    </row>
    <row r="19" spans="1:12" x14ac:dyDescent="0.25">
      <c r="A19" t="s">
        <v>122</v>
      </c>
      <c r="B19" t="s">
        <v>123</v>
      </c>
      <c r="C19" t="s">
        <v>14</v>
      </c>
      <c r="D19" t="s">
        <v>34</v>
      </c>
      <c r="E19" s="61" t="s">
        <v>34</v>
      </c>
      <c r="F19">
        <v>98</v>
      </c>
      <c r="G19" s="2" t="s">
        <v>35</v>
      </c>
      <c r="H19" s="1" t="s">
        <v>25</v>
      </c>
      <c r="J19" s="29"/>
    </row>
    <row r="20" spans="1:12" x14ac:dyDescent="0.25">
      <c r="A20" t="s">
        <v>102</v>
      </c>
      <c r="B20" t="s">
        <v>103</v>
      </c>
      <c r="C20" t="s">
        <v>14</v>
      </c>
      <c r="D20" t="s">
        <v>34</v>
      </c>
      <c r="E20" s="61" t="s">
        <v>34</v>
      </c>
      <c r="F20">
        <v>1</v>
      </c>
      <c r="G20" s="3" t="s">
        <v>29</v>
      </c>
      <c r="H20" s="1" t="s">
        <v>25</v>
      </c>
      <c r="J20" s="29"/>
    </row>
    <row r="21" spans="1:12" x14ac:dyDescent="0.25">
      <c r="A21" t="s">
        <v>112</v>
      </c>
      <c r="B21" t="s">
        <v>113</v>
      </c>
      <c r="C21" t="s">
        <v>23</v>
      </c>
      <c r="D21" t="s">
        <v>34</v>
      </c>
      <c r="E21" s="61" t="s">
        <v>34</v>
      </c>
      <c r="F21">
        <v>96256</v>
      </c>
      <c r="G21" s="2" t="s">
        <v>35</v>
      </c>
      <c r="H21" s="1" t="s">
        <v>25</v>
      </c>
      <c r="J21" s="29"/>
    </row>
    <row r="22" spans="1:12" x14ac:dyDescent="0.25">
      <c r="A22" t="s">
        <v>117</v>
      </c>
      <c r="B22" t="s">
        <v>118</v>
      </c>
      <c r="C22" t="s">
        <v>14</v>
      </c>
      <c r="D22" t="s">
        <v>34</v>
      </c>
      <c r="E22" s="61" t="s">
        <v>34</v>
      </c>
      <c r="F22">
        <v>540</v>
      </c>
      <c r="G22" s="2" t="s">
        <v>35</v>
      </c>
      <c r="H22" s="1" t="s">
        <v>25</v>
      </c>
      <c r="J22" s="29"/>
    </row>
    <row r="23" spans="1:12" ht="14.25" customHeight="1" x14ac:dyDescent="0.25">
      <c r="A23" t="s">
        <v>116</v>
      </c>
      <c r="B23" t="s">
        <v>116</v>
      </c>
      <c r="C23" t="s">
        <v>14</v>
      </c>
      <c r="D23" t="s">
        <v>34</v>
      </c>
      <c r="E23" s="61" t="s">
        <v>34</v>
      </c>
      <c r="F23">
        <v>2048</v>
      </c>
      <c r="G23" s="2" t="s">
        <v>35</v>
      </c>
      <c r="H23" s="1" t="s">
        <v>25</v>
      </c>
      <c r="J23" s="29"/>
    </row>
    <row r="24" spans="1:12" ht="14.25" customHeight="1" x14ac:dyDescent="0.25">
      <c r="A24" t="s">
        <v>100</v>
      </c>
      <c r="B24" t="s">
        <v>101</v>
      </c>
      <c r="C24" t="s">
        <v>23</v>
      </c>
      <c r="D24" t="s">
        <v>34</v>
      </c>
      <c r="E24" s="61" t="s">
        <v>34</v>
      </c>
      <c r="F24">
        <v>7168</v>
      </c>
      <c r="G24" s="3" t="s">
        <v>29</v>
      </c>
      <c r="H24" s="1" t="s">
        <v>25</v>
      </c>
      <c r="J24" s="29"/>
    </row>
    <row r="25" spans="1:12" ht="14.25" customHeight="1" x14ac:dyDescent="0.25">
      <c r="A25" t="s">
        <v>110</v>
      </c>
      <c r="B25" t="s">
        <v>111</v>
      </c>
      <c r="C25" t="s">
        <v>23</v>
      </c>
      <c r="D25" t="s">
        <v>34</v>
      </c>
      <c r="E25" s="61" t="s">
        <v>34</v>
      </c>
      <c r="F25">
        <v>109568</v>
      </c>
      <c r="G25" s="2" t="s">
        <v>35</v>
      </c>
      <c r="H25" s="1" t="s">
        <v>25</v>
      </c>
      <c r="J25" s="29"/>
    </row>
    <row r="26" spans="1:12" ht="14.25" customHeight="1" x14ac:dyDescent="0.25">
      <c r="A26" t="s">
        <v>104</v>
      </c>
      <c r="B26" t="s">
        <v>105</v>
      </c>
      <c r="C26" t="s">
        <v>14</v>
      </c>
      <c r="D26" t="s">
        <v>34</v>
      </c>
      <c r="E26" s="61" t="s">
        <v>34</v>
      </c>
      <c r="F26">
        <v>2048</v>
      </c>
      <c r="G26" s="4" t="s">
        <v>38</v>
      </c>
      <c r="H26" s="1" t="s">
        <v>25</v>
      </c>
      <c r="J26" s="29"/>
    </row>
    <row r="27" spans="1:12" ht="14.25" customHeight="1" x14ac:dyDescent="0.25">
      <c r="A27" t="s">
        <v>108</v>
      </c>
      <c r="B27" t="s">
        <v>109</v>
      </c>
      <c r="C27" t="s">
        <v>14</v>
      </c>
      <c r="D27" t="s">
        <v>34</v>
      </c>
      <c r="E27" s="61" t="s">
        <v>34</v>
      </c>
      <c r="F27">
        <v>568320</v>
      </c>
      <c r="G27" s="2" t="s">
        <v>35</v>
      </c>
      <c r="H27" s="1" t="s">
        <v>25</v>
      </c>
      <c r="J27" s="29"/>
    </row>
    <row r="28" spans="1:12" ht="14.25" customHeight="1" x14ac:dyDescent="0.25">
      <c r="A28" t="s">
        <v>58</v>
      </c>
      <c r="B28" t="s">
        <v>59</v>
      </c>
      <c r="C28" t="s">
        <v>14</v>
      </c>
      <c r="D28" t="s">
        <v>24</v>
      </c>
      <c r="E28" s="63" t="s">
        <v>37</v>
      </c>
      <c r="F28">
        <v>8192</v>
      </c>
      <c r="G28" s="2" t="s">
        <v>35</v>
      </c>
      <c r="H28" s="1" t="s">
        <v>25</v>
      </c>
      <c r="J28" s="29">
        <v>44823</v>
      </c>
      <c r="K28" t="s">
        <v>30</v>
      </c>
      <c r="L28" t="s">
        <v>40</v>
      </c>
    </row>
    <row r="29" spans="1:12" x14ac:dyDescent="0.25">
      <c r="A29" s="30" t="s">
        <v>36</v>
      </c>
      <c r="B29" s="30" t="s">
        <v>36</v>
      </c>
      <c r="C29" s="30" t="s">
        <v>14</v>
      </c>
      <c r="D29" s="30" t="s">
        <v>24</v>
      </c>
      <c r="E29" s="64" t="s">
        <v>37</v>
      </c>
      <c r="F29" s="31">
        <v>3</v>
      </c>
      <c r="G29" s="31" t="s">
        <v>38</v>
      </c>
      <c r="H29" s="31" t="s">
        <v>18</v>
      </c>
      <c r="I29" s="30"/>
      <c r="J29" s="32">
        <v>44812</v>
      </c>
      <c r="K29" s="30" t="s">
        <v>39</v>
      </c>
      <c r="L29" t="s">
        <v>40</v>
      </c>
    </row>
    <row r="30" spans="1:12" x14ac:dyDescent="0.25">
      <c r="A30" t="s">
        <v>46</v>
      </c>
      <c r="B30" t="s">
        <v>47</v>
      </c>
      <c r="C30" t="s">
        <v>14</v>
      </c>
      <c r="D30" t="s">
        <v>24</v>
      </c>
      <c r="E30" s="63" t="s">
        <v>37</v>
      </c>
      <c r="F30">
        <v>37</v>
      </c>
      <c r="G30" s="4" t="s">
        <v>38</v>
      </c>
      <c r="H30" s="1" t="s">
        <v>25</v>
      </c>
      <c r="J30" s="29">
        <v>44817</v>
      </c>
      <c r="K30" t="s">
        <v>48</v>
      </c>
      <c r="L30" t="s">
        <v>49</v>
      </c>
    </row>
    <row r="31" spans="1:12" x14ac:dyDescent="0.25">
      <c r="A31" t="s">
        <v>60</v>
      </c>
      <c r="B31" t="s">
        <v>61</v>
      </c>
      <c r="C31" t="s">
        <v>14</v>
      </c>
      <c r="D31" t="s">
        <v>24</v>
      </c>
      <c r="E31" s="63" t="s">
        <v>37</v>
      </c>
      <c r="F31">
        <v>647</v>
      </c>
      <c r="G31" s="2" t="s">
        <v>35</v>
      </c>
      <c r="H31" s="1" t="s">
        <v>25</v>
      </c>
      <c r="J31" s="29">
        <v>44824</v>
      </c>
      <c r="K31" t="s">
        <v>44</v>
      </c>
      <c r="L31" t="s">
        <v>45</v>
      </c>
    </row>
    <row r="32" spans="1:12" x14ac:dyDescent="0.25">
      <c r="A32" s="30" t="s">
        <v>41</v>
      </c>
      <c r="B32" s="30" t="s">
        <v>42</v>
      </c>
      <c r="C32" s="30" t="s">
        <v>14</v>
      </c>
      <c r="D32" s="30" t="s">
        <v>24</v>
      </c>
      <c r="E32" s="64" t="s">
        <v>37</v>
      </c>
      <c r="F32" s="31">
        <v>8</v>
      </c>
      <c r="G32" s="31" t="s">
        <v>35</v>
      </c>
      <c r="H32" s="31" t="s">
        <v>18</v>
      </c>
      <c r="I32" s="30" t="s">
        <v>43</v>
      </c>
      <c r="J32" s="57">
        <v>44816</v>
      </c>
      <c r="K32" s="31" t="s">
        <v>44</v>
      </c>
      <c r="L32" t="s">
        <v>45</v>
      </c>
    </row>
    <row r="33" spans="1:12" x14ac:dyDescent="0.25">
      <c r="A33" t="s">
        <v>50</v>
      </c>
      <c r="B33" t="s">
        <v>50</v>
      </c>
      <c r="C33" t="s">
        <v>14</v>
      </c>
      <c r="D33" t="s">
        <v>24</v>
      </c>
      <c r="E33" s="63" t="s">
        <v>37</v>
      </c>
      <c r="F33">
        <v>46</v>
      </c>
      <c r="G33" s="4" t="s">
        <v>38</v>
      </c>
      <c r="H33" s="1" t="s">
        <v>25</v>
      </c>
      <c r="J33" s="29">
        <v>44818</v>
      </c>
      <c r="K33" t="s">
        <v>51</v>
      </c>
      <c r="L33" t="s">
        <v>52</v>
      </c>
    </row>
    <row r="34" spans="1:12" x14ac:dyDescent="0.25">
      <c r="A34" t="s">
        <v>87</v>
      </c>
      <c r="B34" t="s">
        <v>88</v>
      </c>
      <c r="C34" t="s">
        <v>23</v>
      </c>
      <c r="D34" t="s">
        <v>73</v>
      </c>
      <c r="E34" s="61" t="s">
        <v>56</v>
      </c>
      <c r="F34">
        <v>5120</v>
      </c>
      <c r="G34" s="4" t="s">
        <v>38</v>
      </c>
      <c r="H34" s="1" t="s">
        <v>25</v>
      </c>
      <c r="J34" s="29"/>
    </row>
    <row r="35" spans="1:12" x14ac:dyDescent="0.25">
      <c r="A35" t="s">
        <v>68</v>
      </c>
      <c r="B35" t="s">
        <v>69</v>
      </c>
      <c r="C35" t="s">
        <v>23</v>
      </c>
      <c r="D35" t="s">
        <v>70</v>
      </c>
      <c r="E35" s="61" t="s">
        <v>56</v>
      </c>
      <c r="F35">
        <v>21504</v>
      </c>
      <c r="G35" s="3" t="s">
        <v>29</v>
      </c>
      <c r="H35" s="1" t="s">
        <v>25</v>
      </c>
      <c r="I35" s="29"/>
      <c r="J35" s="29"/>
    </row>
    <row r="36" spans="1:12" x14ac:dyDescent="0.25">
      <c r="A36" t="s">
        <v>55</v>
      </c>
      <c r="B36" t="s">
        <v>55</v>
      </c>
      <c r="C36" t="s">
        <v>14</v>
      </c>
      <c r="D36" t="s">
        <v>24</v>
      </c>
      <c r="E36" s="61" t="s">
        <v>56</v>
      </c>
      <c r="F36">
        <v>918528</v>
      </c>
      <c r="G36" s="1" t="s">
        <v>17</v>
      </c>
      <c r="H36" s="1" t="s">
        <v>25</v>
      </c>
      <c r="J36" s="29">
        <v>44820</v>
      </c>
      <c r="K36" t="s">
        <v>57</v>
      </c>
      <c r="L36" t="s">
        <v>52</v>
      </c>
    </row>
    <row r="37" spans="1:12" x14ac:dyDescent="0.25">
      <c r="A37" t="s">
        <v>98</v>
      </c>
      <c r="B37" t="s">
        <v>99</v>
      </c>
      <c r="C37" t="s">
        <v>14</v>
      </c>
      <c r="D37" t="s">
        <v>73</v>
      </c>
      <c r="E37" s="61" t="s">
        <v>56</v>
      </c>
      <c r="F37">
        <v>1</v>
      </c>
      <c r="G37" s="4" t="s">
        <v>38</v>
      </c>
      <c r="H37" s="1" t="s">
        <v>25</v>
      </c>
      <c r="J37" s="29"/>
    </row>
    <row r="38" spans="1:12" x14ac:dyDescent="0.25">
      <c r="A38" s="30" t="s">
        <v>66</v>
      </c>
      <c r="B38" s="30"/>
      <c r="C38" s="30"/>
      <c r="D38" s="30" t="s">
        <v>24</v>
      </c>
      <c r="E38" s="62" t="s">
        <v>56</v>
      </c>
      <c r="F38" s="30">
        <v>1</v>
      </c>
      <c r="G38" s="31" t="s">
        <v>38</v>
      </c>
      <c r="H38" s="31" t="s">
        <v>18</v>
      </c>
      <c r="I38" s="30"/>
      <c r="J38" s="32"/>
      <c r="K38" s="30"/>
    </row>
    <row r="39" spans="1:12" x14ac:dyDescent="0.25">
      <c r="A39" t="s">
        <v>85</v>
      </c>
      <c r="B39" t="s">
        <v>86</v>
      </c>
      <c r="C39" t="s">
        <v>14</v>
      </c>
      <c r="D39" t="s">
        <v>73</v>
      </c>
      <c r="E39" s="61" t="s">
        <v>56</v>
      </c>
      <c r="F39">
        <v>1</v>
      </c>
      <c r="G39" s="3" t="s">
        <v>29</v>
      </c>
      <c r="H39" s="1" t="s">
        <v>25</v>
      </c>
      <c r="J39" s="29"/>
    </row>
    <row r="40" spans="1:12" x14ac:dyDescent="0.25">
      <c r="A40" t="s">
        <v>89</v>
      </c>
      <c r="B40" t="s">
        <v>89</v>
      </c>
      <c r="C40" t="s">
        <v>14</v>
      </c>
      <c r="D40" t="s">
        <v>73</v>
      </c>
      <c r="E40" s="61" t="s">
        <v>56</v>
      </c>
      <c r="F40">
        <v>897</v>
      </c>
      <c r="G40" s="4" t="s">
        <v>38</v>
      </c>
      <c r="H40" s="1" t="s">
        <v>25</v>
      </c>
      <c r="J40" s="29"/>
    </row>
    <row r="41" spans="1:12" x14ac:dyDescent="0.25">
      <c r="A41" s="30" t="s">
        <v>67</v>
      </c>
      <c r="B41" s="30"/>
      <c r="C41" s="30"/>
      <c r="D41" s="30" t="s">
        <v>24</v>
      </c>
      <c r="E41" s="31" t="s">
        <v>56</v>
      </c>
      <c r="F41" s="30">
        <v>1</v>
      </c>
      <c r="G41" s="31" t="s">
        <v>38</v>
      </c>
      <c r="H41" s="31" t="s">
        <v>18</v>
      </c>
      <c r="I41" s="30"/>
      <c r="J41" s="32"/>
      <c r="K41" s="30"/>
    </row>
    <row r="42" spans="1:12" x14ac:dyDescent="0.25">
      <c r="A42" t="s">
        <v>78</v>
      </c>
      <c r="B42" t="s">
        <v>79</v>
      </c>
      <c r="C42" t="s">
        <v>23</v>
      </c>
      <c r="D42" t="s">
        <v>24</v>
      </c>
      <c r="E42" s="61" t="s">
        <v>16</v>
      </c>
      <c r="F42">
        <v>7168</v>
      </c>
      <c r="G42" s="1" t="s">
        <v>17</v>
      </c>
      <c r="H42" s="1" t="s">
        <v>25</v>
      </c>
      <c r="J42" s="29"/>
    </row>
    <row r="43" spans="1:12" x14ac:dyDescent="0.25">
      <c r="A43" s="30" t="s">
        <v>90</v>
      </c>
      <c r="B43" s="30" t="s">
        <v>90</v>
      </c>
      <c r="C43" s="30" t="s">
        <v>14</v>
      </c>
      <c r="D43" s="30" t="s">
        <v>24</v>
      </c>
      <c r="E43" s="60" t="s">
        <v>16</v>
      </c>
      <c r="F43" s="30">
        <v>1</v>
      </c>
      <c r="G43" s="30" t="s">
        <v>38</v>
      </c>
      <c r="H43" s="30" t="s">
        <v>18</v>
      </c>
      <c r="I43" s="30" t="s">
        <v>91</v>
      </c>
      <c r="J43" s="30"/>
      <c r="K43" s="30"/>
      <c r="L43" s="56"/>
    </row>
    <row r="44" spans="1:12" x14ac:dyDescent="0.25">
      <c r="A44" s="30" t="s">
        <v>93</v>
      </c>
      <c r="B44" s="30"/>
      <c r="C44" s="30"/>
      <c r="D44" s="30" t="s">
        <v>24</v>
      </c>
      <c r="E44" s="62" t="s">
        <v>16</v>
      </c>
      <c r="F44" s="31"/>
      <c r="G44" s="31" t="s">
        <v>35</v>
      </c>
      <c r="H44" s="31" t="s">
        <v>18</v>
      </c>
      <c r="I44" s="30"/>
      <c r="J44" s="32"/>
      <c r="K44" s="30"/>
    </row>
    <row r="45" spans="1:12" x14ac:dyDescent="0.25">
      <c r="A45" s="30" t="s">
        <v>119</v>
      </c>
      <c r="B45" s="30"/>
      <c r="C45" s="30"/>
      <c r="D45" s="30" t="s">
        <v>120</v>
      </c>
      <c r="E45" s="62" t="s">
        <v>16</v>
      </c>
      <c r="F45" s="30">
        <v>2048</v>
      </c>
      <c r="G45" s="31" t="s">
        <v>29</v>
      </c>
      <c r="H45" s="31" t="s">
        <v>18</v>
      </c>
      <c r="I45" s="30"/>
      <c r="J45" s="32"/>
      <c r="K45" s="30"/>
    </row>
    <row r="46" spans="1:12" x14ac:dyDescent="0.25">
      <c r="A46" s="30" t="s">
        <v>12</v>
      </c>
      <c r="B46" s="30" t="s">
        <v>13</v>
      </c>
      <c r="C46" s="30" t="s">
        <v>14</v>
      </c>
      <c r="D46" s="30" t="s">
        <v>15</v>
      </c>
      <c r="E46" s="62" t="s">
        <v>16</v>
      </c>
      <c r="F46" s="30">
        <v>102</v>
      </c>
      <c r="G46" s="31" t="s">
        <v>17</v>
      </c>
      <c r="H46" s="31" t="s">
        <v>18</v>
      </c>
      <c r="I46" s="30"/>
      <c r="J46" s="32">
        <v>44802</v>
      </c>
      <c r="K46" s="30" t="s">
        <v>19</v>
      </c>
    </row>
    <row r="47" spans="1:12" x14ac:dyDescent="0.25">
      <c r="A47" s="30" t="s">
        <v>20</v>
      </c>
      <c r="B47" s="30" t="s">
        <v>21</v>
      </c>
      <c r="C47" s="30" t="s">
        <v>14</v>
      </c>
      <c r="D47" s="30" t="s">
        <v>15</v>
      </c>
      <c r="E47" s="62" t="s">
        <v>16</v>
      </c>
      <c r="F47" s="30">
        <v>2328</v>
      </c>
      <c r="G47" s="31" t="s">
        <v>17</v>
      </c>
      <c r="H47" s="31" t="s">
        <v>18</v>
      </c>
      <c r="I47" s="30"/>
      <c r="J47" s="32">
        <v>44802</v>
      </c>
      <c r="K47" s="30" t="s">
        <v>19</v>
      </c>
    </row>
    <row r="48" spans="1:12" x14ac:dyDescent="0.25">
      <c r="A48" t="s">
        <v>63</v>
      </c>
      <c r="B48" t="s">
        <v>64</v>
      </c>
      <c r="C48" t="s">
        <v>14</v>
      </c>
      <c r="D48" t="s">
        <v>65</v>
      </c>
      <c r="E48" s="61" t="s">
        <v>16</v>
      </c>
      <c r="F48">
        <v>32768</v>
      </c>
      <c r="G48" s="2" t="s">
        <v>35</v>
      </c>
      <c r="H48" s="1" t="s">
        <v>25</v>
      </c>
      <c r="J48" s="29">
        <v>44825</v>
      </c>
      <c r="K48" t="s">
        <v>39</v>
      </c>
      <c r="L48" t="s">
        <v>49</v>
      </c>
    </row>
    <row r="49" spans="1:12" x14ac:dyDescent="0.25">
      <c r="A49" t="s">
        <v>53</v>
      </c>
      <c r="B49" t="s">
        <v>54</v>
      </c>
      <c r="C49" t="s">
        <v>14</v>
      </c>
      <c r="D49" t="s">
        <v>24</v>
      </c>
      <c r="E49" s="61" t="s">
        <v>16</v>
      </c>
      <c r="F49">
        <v>230</v>
      </c>
      <c r="G49" s="2" t="s">
        <v>35</v>
      </c>
      <c r="H49" s="1" t="s">
        <v>25</v>
      </c>
      <c r="J49" s="29">
        <v>44819</v>
      </c>
      <c r="K49" t="s">
        <v>39</v>
      </c>
      <c r="L49" t="s">
        <v>40</v>
      </c>
    </row>
    <row r="50" spans="1:12" x14ac:dyDescent="0.25">
      <c r="A50" t="s">
        <v>22</v>
      </c>
      <c r="B50" t="s">
        <v>22</v>
      </c>
      <c r="C50" t="s">
        <v>23</v>
      </c>
      <c r="D50" t="s">
        <v>24</v>
      </c>
      <c r="E50" s="61" t="s">
        <v>16</v>
      </c>
      <c r="F50">
        <v>51</v>
      </c>
      <c r="G50" s="2" t="s">
        <v>17</v>
      </c>
      <c r="H50" s="1" t="s">
        <v>25</v>
      </c>
      <c r="I50" t="s">
        <v>26</v>
      </c>
      <c r="J50" s="29">
        <v>44802</v>
      </c>
      <c r="K50" t="s">
        <v>19</v>
      </c>
    </row>
    <row r="53" spans="1:12" x14ac:dyDescent="0.25">
      <c r="L53" s="23"/>
    </row>
    <row r="54" spans="1:12" x14ac:dyDescent="0.25">
      <c r="L54" s="2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B0416-A650-45DF-9DD0-3B6367C3604F}">
  <dimension ref="A1:AB128"/>
  <sheetViews>
    <sheetView topLeftCell="B74" workbookViewId="0">
      <selection activeCell="A84" sqref="A84"/>
    </sheetView>
  </sheetViews>
  <sheetFormatPr defaultRowHeight="15" x14ac:dyDescent="0.25"/>
  <cols>
    <col min="1" max="1" width="14" style="6" hidden="1" customWidth="1"/>
    <col min="2" max="2" width="49" customWidth="1"/>
    <col min="3" max="3" width="23.42578125" bestFit="1" customWidth="1"/>
    <col min="4" max="4" width="27.28515625" bestFit="1" customWidth="1"/>
    <col min="5" max="5" width="50.42578125" customWidth="1"/>
    <col min="6" max="24" width="8.5703125" style="15"/>
    <col min="25" max="28" width="8.5703125" style="13"/>
  </cols>
  <sheetData>
    <row r="1" spans="1:24" ht="21.6" customHeight="1" x14ac:dyDescent="0.25">
      <c r="A1" s="8"/>
      <c r="B1" s="12" t="s">
        <v>124</v>
      </c>
      <c r="C1" s="9"/>
      <c r="D1" s="9"/>
      <c r="E1" s="9"/>
    </row>
    <row r="2" spans="1:24" s="13" customForma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x14ac:dyDescent="0.25">
      <c r="A3" s="11" t="s">
        <v>7</v>
      </c>
      <c r="B3" t="s">
        <v>125</v>
      </c>
      <c r="C3" t="s">
        <v>126</v>
      </c>
      <c r="D3" t="s">
        <v>127</v>
      </c>
      <c r="E3" t="s">
        <v>128</v>
      </c>
    </row>
    <row r="4" spans="1:24" x14ac:dyDescent="0.25">
      <c r="B4" t="s">
        <v>129</v>
      </c>
      <c r="C4" t="s">
        <v>16</v>
      </c>
      <c r="D4" s="2" t="s">
        <v>130</v>
      </c>
    </row>
    <row r="5" spans="1:24" x14ac:dyDescent="0.25">
      <c r="B5" t="s">
        <v>131</v>
      </c>
      <c r="C5" t="s">
        <v>16</v>
      </c>
      <c r="D5" s="2" t="s">
        <v>130</v>
      </c>
    </row>
    <row r="6" spans="1:24" x14ac:dyDescent="0.25">
      <c r="B6" t="s">
        <v>132</v>
      </c>
      <c r="C6" t="s">
        <v>16</v>
      </c>
      <c r="D6" s="2" t="s">
        <v>130</v>
      </c>
    </row>
    <row r="7" spans="1:24" x14ac:dyDescent="0.25">
      <c r="B7" t="s">
        <v>133</v>
      </c>
      <c r="C7" t="s">
        <v>134</v>
      </c>
      <c r="D7" s="2" t="s">
        <v>130</v>
      </c>
    </row>
    <row r="8" spans="1:24" x14ac:dyDescent="0.25">
      <c r="B8" t="s">
        <v>135</v>
      </c>
      <c r="C8" t="s">
        <v>134</v>
      </c>
      <c r="D8" s="2" t="s">
        <v>130</v>
      </c>
    </row>
    <row r="9" spans="1:24" x14ac:dyDescent="0.25">
      <c r="B9" t="s">
        <v>136</v>
      </c>
      <c r="C9" t="s">
        <v>134</v>
      </c>
      <c r="D9" s="2" t="s">
        <v>130</v>
      </c>
    </row>
    <row r="10" spans="1:24" x14ac:dyDescent="0.25">
      <c r="B10" t="s">
        <v>137</v>
      </c>
      <c r="C10" t="s">
        <v>134</v>
      </c>
      <c r="D10" s="2" t="s">
        <v>130</v>
      </c>
    </row>
    <row r="11" spans="1:24" x14ac:dyDescent="0.25">
      <c r="B11" t="s">
        <v>138</v>
      </c>
      <c r="C11" t="s">
        <v>134</v>
      </c>
      <c r="D11" s="2" t="s">
        <v>130</v>
      </c>
    </row>
    <row r="12" spans="1:24" x14ac:dyDescent="0.25">
      <c r="B12" t="s">
        <v>139</v>
      </c>
      <c r="C12" t="s">
        <v>134</v>
      </c>
      <c r="D12" s="2" t="s">
        <v>130</v>
      </c>
    </row>
    <row r="13" spans="1:24" x14ac:dyDescent="0.25">
      <c r="B13" t="s">
        <v>140</v>
      </c>
      <c r="C13" t="s">
        <v>134</v>
      </c>
      <c r="D13" s="2" t="s">
        <v>130</v>
      </c>
    </row>
    <row r="14" spans="1:24" x14ac:dyDescent="0.25">
      <c r="A14" s="6" t="s">
        <v>141</v>
      </c>
      <c r="B14" t="s">
        <v>142</v>
      </c>
      <c r="C14" t="s">
        <v>121</v>
      </c>
      <c r="D14" s="2" t="s">
        <v>130</v>
      </c>
    </row>
    <row r="15" spans="1:24" x14ac:dyDescent="0.25">
      <c r="A15" s="6" t="s">
        <v>141</v>
      </c>
      <c r="B15" t="s">
        <v>143</v>
      </c>
      <c r="C15" t="s">
        <v>121</v>
      </c>
      <c r="D15" s="2" t="s">
        <v>130</v>
      </c>
    </row>
    <row r="16" spans="1:24" x14ac:dyDescent="0.25">
      <c r="B16" t="s">
        <v>144</v>
      </c>
      <c r="C16" t="s">
        <v>16</v>
      </c>
      <c r="D16" s="2" t="s">
        <v>34</v>
      </c>
    </row>
    <row r="17" spans="2:4" x14ac:dyDescent="0.25">
      <c r="B17" t="s">
        <v>145</v>
      </c>
      <c r="C17" t="s">
        <v>16</v>
      </c>
      <c r="D17" s="2" t="s">
        <v>34</v>
      </c>
    </row>
    <row r="18" spans="2:4" x14ac:dyDescent="0.25">
      <c r="B18" t="s">
        <v>146</v>
      </c>
      <c r="C18" t="s">
        <v>147</v>
      </c>
      <c r="D18" s="2" t="s">
        <v>34</v>
      </c>
    </row>
    <row r="19" spans="2:4" x14ac:dyDescent="0.25">
      <c r="B19" t="s">
        <v>148</v>
      </c>
      <c r="C19" t="s">
        <v>147</v>
      </c>
      <c r="D19" s="2" t="s">
        <v>34</v>
      </c>
    </row>
    <row r="20" spans="2:4" x14ac:dyDescent="0.25">
      <c r="B20" t="s">
        <v>149</v>
      </c>
      <c r="C20" t="s">
        <v>147</v>
      </c>
      <c r="D20" s="2" t="s">
        <v>34</v>
      </c>
    </row>
    <row r="21" spans="2:4" x14ac:dyDescent="0.25">
      <c r="B21" t="s">
        <v>150</v>
      </c>
      <c r="C21" t="s">
        <v>147</v>
      </c>
      <c r="D21" s="2" t="s">
        <v>34</v>
      </c>
    </row>
    <row r="22" spans="2:4" x14ac:dyDescent="0.25">
      <c r="B22" t="s">
        <v>151</v>
      </c>
      <c r="C22" t="s">
        <v>147</v>
      </c>
      <c r="D22" s="2" t="s">
        <v>34</v>
      </c>
    </row>
    <row r="23" spans="2:4" x14ac:dyDescent="0.25">
      <c r="B23" t="s">
        <v>152</v>
      </c>
      <c r="C23" t="s">
        <v>147</v>
      </c>
      <c r="D23" s="2" t="s">
        <v>34</v>
      </c>
    </row>
    <row r="24" spans="2:4" x14ac:dyDescent="0.25">
      <c r="B24" t="s">
        <v>153</v>
      </c>
      <c r="C24" t="s">
        <v>147</v>
      </c>
      <c r="D24" s="2" t="s">
        <v>34</v>
      </c>
    </row>
    <row r="25" spans="2:4" x14ac:dyDescent="0.25">
      <c r="B25" t="s">
        <v>154</v>
      </c>
      <c r="C25" t="s">
        <v>147</v>
      </c>
      <c r="D25" s="2" t="s">
        <v>34</v>
      </c>
    </row>
    <row r="26" spans="2:4" x14ac:dyDescent="0.25">
      <c r="B26" t="s">
        <v>155</v>
      </c>
      <c r="C26" t="s">
        <v>147</v>
      </c>
      <c r="D26" s="2" t="s">
        <v>34</v>
      </c>
    </row>
    <row r="27" spans="2:4" x14ac:dyDescent="0.25">
      <c r="B27" t="s">
        <v>156</v>
      </c>
      <c r="C27" t="s">
        <v>147</v>
      </c>
      <c r="D27" s="2" t="s">
        <v>34</v>
      </c>
    </row>
    <row r="28" spans="2:4" x14ac:dyDescent="0.25">
      <c r="B28" t="s">
        <v>157</v>
      </c>
      <c r="C28" t="s">
        <v>147</v>
      </c>
      <c r="D28" s="2" t="s">
        <v>34</v>
      </c>
    </row>
    <row r="29" spans="2:4" x14ac:dyDescent="0.25">
      <c r="B29" t="s">
        <v>158</v>
      </c>
      <c r="C29" t="s">
        <v>147</v>
      </c>
      <c r="D29" s="2" t="s">
        <v>34</v>
      </c>
    </row>
    <row r="30" spans="2:4" x14ac:dyDescent="0.25">
      <c r="B30" t="s">
        <v>159</v>
      </c>
      <c r="C30" t="s">
        <v>147</v>
      </c>
      <c r="D30" s="2" t="s">
        <v>34</v>
      </c>
    </row>
    <row r="31" spans="2:4" x14ac:dyDescent="0.25">
      <c r="B31" t="s">
        <v>160</v>
      </c>
      <c r="C31" t="s">
        <v>147</v>
      </c>
      <c r="D31" s="2" t="s">
        <v>34</v>
      </c>
    </row>
    <row r="32" spans="2:4" x14ac:dyDescent="0.25">
      <c r="B32" t="s">
        <v>161</v>
      </c>
      <c r="C32" t="s">
        <v>147</v>
      </c>
      <c r="D32" s="2" t="s">
        <v>34</v>
      </c>
    </row>
    <row r="33" spans="1:5" x14ac:dyDescent="0.25">
      <c r="B33" t="s">
        <v>162</v>
      </c>
      <c r="C33" t="s">
        <v>16</v>
      </c>
      <c r="D33" s="2" t="s">
        <v>163</v>
      </c>
    </row>
    <row r="34" spans="1:5" x14ac:dyDescent="0.25">
      <c r="B34" t="s">
        <v>164</v>
      </c>
      <c r="C34" t="s">
        <v>16</v>
      </c>
      <c r="D34" s="2" t="s">
        <v>163</v>
      </c>
    </row>
    <row r="35" spans="1:5" x14ac:dyDescent="0.25">
      <c r="B35" t="s">
        <v>165</v>
      </c>
      <c r="C35" t="s">
        <v>16</v>
      </c>
      <c r="D35" s="2" t="s">
        <v>163</v>
      </c>
    </row>
    <row r="36" spans="1:5" x14ac:dyDescent="0.25">
      <c r="B36" t="s">
        <v>166</v>
      </c>
      <c r="C36" t="s">
        <v>16</v>
      </c>
      <c r="D36" s="2" t="s">
        <v>163</v>
      </c>
    </row>
    <row r="37" spans="1:5" x14ac:dyDescent="0.25">
      <c r="B37" t="s">
        <v>167</v>
      </c>
      <c r="C37" t="s">
        <v>16</v>
      </c>
      <c r="D37" s="2" t="s">
        <v>163</v>
      </c>
    </row>
    <row r="38" spans="1:5" x14ac:dyDescent="0.25">
      <c r="B38" t="s">
        <v>168</v>
      </c>
      <c r="C38" t="s">
        <v>16</v>
      </c>
      <c r="D38" s="2" t="s">
        <v>163</v>
      </c>
    </row>
    <row r="39" spans="1:5" x14ac:dyDescent="0.25">
      <c r="B39" t="s">
        <v>169</v>
      </c>
      <c r="C39" t="s">
        <v>170</v>
      </c>
      <c r="D39" s="2" t="s">
        <v>171</v>
      </c>
      <c r="E39" s="2"/>
    </row>
    <row r="40" spans="1:5" x14ac:dyDescent="0.25">
      <c r="B40" t="s">
        <v>172</v>
      </c>
      <c r="C40" t="s">
        <v>170</v>
      </c>
      <c r="D40" s="2" t="s">
        <v>171</v>
      </c>
      <c r="E40" s="2"/>
    </row>
    <row r="41" spans="1:5" x14ac:dyDescent="0.25">
      <c r="B41" t="s">
        <v>173</v>
      </c>
      <c r="C41" t="s">
        <v>170</v>
      </c>
      <c r="D41" s="2" t="s">
        <v>171</v>
      </c>
      <c r="E41" s="2"/>
    </row>
    <row r="42" spans="1:5" x14ac:dyDescent="0.25">
      <c r="B42" t="s">
        <v>174</v>
      </c>
      <c r="C42" t="s">
        <v>170</v>
      </c>
      <c r="D42" s="2" t="s">
        <v>171</v>
      </c>
      <c r="E42" s="2"/>
    </row>
    <row r="43" spans="1:5" x14ac:dyDescent="0.25">
      <c r="B43" t="s">
        <v>175</v>
      </c>
      <c r="C43" t="s">
        <v>170</v>
      </c>
      <c r="D43" s="2" t="s">
        <v>171</v>
      </c>
      <c r="E43" s="2"/>
    </row>
    <row r="44" spans="1:5" x14ac:dyDescent="0.25">
      <c r="B44" t="s">
        <v>176</v>
      </c>
      <c r="C44" t="s">
        <v>170</v>
      </c>
      <c r="D44" s="2" t="s">
        <v>171</v>
      </c>
      <c r="E44" s="2"/>
    </row>
    <row r="45" spans="1:5" x14ac:dyDescent="0.25">
      <c r="B45" t="s">
        <v>177</v>
      </c>
      <c r="C45" t="s">
        <v>170</v>
      </c>
      <c r="D45" s="2" t="s">
        <v>171</v>
      </c>
      <c r="E45" s="2"/>
    </row>
    <row r="46" spans="1:5" x14ac:dyDescent="0.25">
      <c r="B46" t="s">
        <v>178</v>
      </c>
      <c r="C46" t="s">
        <v>170</v>
      </c>
      <c r="D46" s="2" t="s">
        <v>171</v>
      </c>
      <c r="E46" s="2"/>
    </row>
    <row r="47" spans="1:5" x14ac:dyDescent="0.25">
      <c r="A47" s="6" t="s">
        <v>141</v>
      </c>
      <c r="B47" t="s">
        <v>179</v>
      </c>
      <c r="C47" t="s">
        <v>16</v>
      </c>
      <c r="D47" s="2" t="s">
        <v>37</v>
      </c>
    </row>
    <row r="48" spans="1:5" x14ac:dyDescent="0.25">
      <c r="A48" s="6" t="s">
        <v>141</v>
      </c>
      <c r="B48" t="s">
        <v>180</v>
      </c>
      <c r="C48" t="s">
        <v>16</v>
      </c>
      <c r="D48" s="2" t="s">
        <v>37</v>
      </c>
    </row>
    <row r="49" spans="1:5" x14ac:dyDescent="0.25">
      <c r="A49" s="6" t="s">
        <v>141</v>
      </c>
      <c r="B49" t="s">
        <v>181</v>
      </c>
      <c r="C49" t="s">
        <v>16</v>
      </c>
      <c r="D49" s="2" t="s">
        <v>37</v>
      </c>
    </row>
    <row r="50" spans="1:5" x14ac:dyDescent="0.25">
      <c r="B50" t="s">
        <v>182</v>
      </c>
      <c r="C50" t="s">
        <v>183</v>
      </c>
      <c r="D50" s="2" t="s">
        <v>37</v>
      </c>
    </row>
    <row r="51" spans="1:5" x14ac:dyDescent="0.25">
      <c r="B51" t="s">
        <v>184</v>
      </c>
      <c r="C51" t="s">
        <v>183</v>
      </c>
      <c r="D51" s="2" t="s">
        <v>37</v>
      </c>
    </row>
    <row r="52" spans="1:5" x14ac:dyDescent="0.25">
      <c r="B52" t="s">
        <v>185</v>
      </c>
      <c r="C52" t="s">
        <v>183</v>
      </c>
      <c r="D52" s="2" t="s">
        <v>37</v>
      </c>
    </row>
    <row r="53" spans="1:5" x14ac:dyDescent="0.25">
      <c r="B53" t="s">
        <v>186</v>
      </c>
      <c r="C53" t="s">
        <v>16</v>
      </c>
      <c r="D53" s="2" t="s">
        <v>187</v>
      </c>
    </row>
    <row r="54" spans="1:5" x14ac:dyDescent="0.25">
      <c r="B54" t="s">
        <v>188</v>
      </c>
      <c r="C54" t="s">
        <v>189</v>
      </c>
      <c r="D54" s="2" t="s">
        <v>187</v>
      </c>
    </row>
    <row r="55" spans="1:5" x14ac:dyDescent="0.25">
      <c r="B55" t="s">
        <v>190</v>
      </c>
      <c r="C55" t="s">
        <v>189</v>
      </c>
      <c r="D55" s="2" t="s">
        <v>187</v>
      </c>
    </row>
    <row r="56" spans="1:5" x14ac:dyDescent="0.25">
      <c r="B56" t="s">
        <v>191</v>
      </c>
      <c r="C56" t="s">
        <v>192</v>
      </c>
      <c r="D56" s="2" t="s">
        <v>187</v>
      </c>
    </row>
    <row r="57" spans="1:5" x14ac:dyDescent="0.25">
      <c r="B57" t="s">
        <v>193</v>
      </c>
      <c r="C57" t="s">
        <v>192</v>
      </c>
      <c r="D57" s="2" t="s">
        <v>187</v>
      </c>
    </row>
    <row r="58" spans="1:5" x14ac:dyDescent="0.25">
      <c r="B58" t="s">
        <v>194</v>
      </c>
      <c r="C58" t="s">
        <v>170</v>
      </c>
      <c r="D58" s="2" t="s">
        <v>56</v>
      </c>
      <c r="E58" s="2"/>
    </row>
    <row r="59" spans="1:5" x14ac:dyDescent="0.25">
      <c r="B59" t="s">
        <v>195</v>
      </c>
      <c r="C59" t="s">
        <v>170</v>
      </c>
      <c r="D59" s="2" t="s">
        <v>56</v>
      </c>
      <c r="E59" s="2"/>
    </row>
    <row r="60" spans="1:5" x14ac:dyDescent="0.25">
      <c r="B60" t="s">
        <v>196</v>
      </c>
      <c r="C60" t="s">
        <v>170</v>
      </c>
      <c r="D60" s="2" t="s">
        <v>56</v>
      </c>
      <c r="E60" s="2"/>
    </row>
    <row r="61" spans="1:5" x14ac:dyDescent="0.25">
      <c r="B61" t="s">
        <v>197</v>
      </c>
      <c r="C61" t="s">
        <v>170</v>
      </c>
      <c r="D61" s="2" t="s">
        <v>56</v>
      </c>
      <c r="E61" s="2"/>
    </row>
    <row r="62" spans="1:5" x14ac:dyDescent="0.25">
      <c r="B62" t="s">
        <v>198</v>
      </c>
      <c r="C62" t="s">
        <v>170</v>
      </c>
      <c r="D62" s="2" t="s">
        <v>56</v>
      </c>
      <c r="E62" s="2"/>
    </row>
    <row r="63" spans="1:5" x14ac:dyDescent="0.25">
      <c r="B63" t="s">
        <v>199</v>
      </c>
      <c r="C63" t="s">
        <v>170</v>
      </c>
      <c r="D63" s="2" t="s">
        <v>56</v>
      </c>
      <c r="E63" s="2"/>
    </row>
    <row r="64" spans="1:5" x14ac:dyDescent="0.25">
      <c r="B64" t="s">
        <v>200</v>
      </c>
      <c r="C64" t="s">
        <v>16</v>
      </c>
      <c r="D64" s="2" t="s">
        <v>56</v>
      </c>
      <c r="E64" t="s">
        <v>201</v>
      </c>
    </row>
    <row r="65" spans="1:5" x14ac:dyDescent="0.25">
      <c r="B65" t="s">
        <v>202</v>
      </c>
      <c r="C65" t="s">
        <v>16</v>
      </c>
      <c r="D65" s="2" t="s">
        <v>56</v>
      </c>
    </row>
    <row r="66" spans="1:5" x14ac:dyDescent="0.25">
      <c r="B66" t="s">
        <v>203</v>
      </c>
      <c r="C66" t="s">
        <v>16</v>
      </c>
      <c r="D66" s="2" t="s">
        <v>56</v>
      </c>
    </row>
    <row r="67" spans="1:5" x14ac:dyDescent="0.25">
      <c r="B67" t="s">
        <v>204</v>
      </c>
      <c r="C67" t="s">
        <v>70</v>
      </c>
      <c r="D67" s="2" t="s">
        <v>56</v>
      </c>
    </row>
    <row r="68" spans="1:5" x14ac:dyDescent="0.25">
      <c r="B68" t="s">
        <v>205</v>
      </c>
      <c r="C68" t="s">
        <v>70</v>
      </c>
      <c r="D68" s="2" t="s">
        <v>56</v>
      </c>
    </row>
    <row r="69" spans="1:5" x14ac:dyDescent="0.25">
      <c r="A69" s="6" t="s">
        <v>141</v>
      </c>
      <c r="B69" t="s">
        <v>206</v>
      </c>
      <c r="C69" t="s">
        <v>207</v>
      </c>
      <c r="D69" s="2" t="s">
        <v>56</v>
      </c>
    </row>
    <row r="70" spans="1:5" x14ac:dyDescent="0.25">
      <c r="B70" t="s">
        <v>208</v>
      </c>
      <c r="C70" t="s">
        <v>16</v>
      </c>
      <c r="D70" s="2" t="s">
        <v>209</v>
      </c>
    </row>
    <row r="71" spans="1:5" x14ac:dyDescent="0.25">
      <c r="B71" t="s">
        <v>210</v>
      </c>
      <c r="C71" t="s">
        <v>16</v>
      </c>
      <c r="D71" s="2" t="s">
        <v>209</v>
      </c>
    </row>
    <row r="72" spans="1:5" x14ac:dyDescent="0.25">
      <c r="B72" t="s">
        <v>211</v>
      </c>
      <c r="C72" t="s">
        <v>16</v>
      </c>
      <c r="D72" s="2" t="s">
        <v>209</v>
      </c>
    </row>
    <row r="73" spans="1:5" x14ac:dyDescent="0.25">
      <c r="B73" t="s">
        <v>212</v>
      </c>
      <c r="C73" t="s">
        <v>170</v>
      </c>
      <c r="D73" s="5" t="s">
        <v>213</v>
      </c>
      <c r="E73" s="5"/>
    </row>
    <row r="74" spans="1:5" x14ac:dyDescent="0.25">
      <c r="B74" t="s">
        <v>214</v>
      </c>
      <c r="C74" t="s">
        <v>170</v>
      </c>
      <c r="D74" s="5" t="s">
        <v>213</v>
      </c>
      <c r="E74" s="5"/>
    </row>
    <row r="75" spans="1:5" x14ac:dyDescent="0.25">
      <c r="B75" t="s">
        <v>215</v>
      </c>
      <c r="C75" t="s">
        <v>16</v>
      </c>
      <c r="D75" s="5" t="s">
        <v>213</v>
      </c>
    </row>
    <row r="76" spans="1:5" x14ac:dyDescent="0.25">
      <c r="B76" t="s">
        <v>216</v>
      </c>
      <c r="C76" t="s">
        <v>217</v>
      </c>
      <c r="D76" s="5" t="s">
        <v>213</v>
      </c>
    </row>
    <row r="77" spans="1:5" x14ac:dyDescent="0.25">
      <c r="A77" s="6" t="s">
        <v>141</v>
      </c>
      <c r="B77" t="s">
        <v>218</v>
      </c>
      <c r="C77" t="s">
        <v>16</v>
      </c>
      <c r="D77" s="2" t="s">
        <v>209</v>
      </c>
    </row>
    <row r="78" spans="1:5" x14ac:dyDescent="0.25">
      <c r="B78" t="s">
        <v>219</v>
      </c>
      <c r="C78" t="s">
        <v>16</v>
      </c>
      <c r="D78" s="2" t="s">
        <v>56</v>
      </c>
    </row>
    <row r="79" spans="1:5" x14ac:dyDescent="0.25">
      <c r="B79" t="s">
        <v>220</v>
      </c>
      <c r="C79" t="s">
        <v>16</v>
      </c>
      <c r="D79" s="2" t="s">
        <v>130</v>
      </c>
    </row>
    <row r="80" spans="1:5" x14ac:dyDescent="0.25">
      <c r="B80" t="s">
        <v>221</v>
      </c>
      <c r="C80" t="s">
        <v>134</v>
      </c>
      <c r="D80" s="2" t="s">
        <v>130</v>
      </c>
    </row>
    <row r="81" spans="1:5" x14ac:dyDescent="0.25">
      <c r="A81" s="6" t="s">
        <v>141</v>
      </c>
      <c r="B81" t="s">
        <v>222</v>
      </c>
      <c r="C81" t="s">
        <v>16</v>
      </c>
      <c r="D81" s="2" t="s">
        <v>209</v>
      </c>
    </row>
    <row r="82" spans="1:5" x14ac:dyDescent="0.25">
      <c r="B82" t="s">
        <v>162</v>
      </c>
      <c r="C82" t="s">
        <v>16</v>
      </c>
      <c r="D82" s="2" t="s">
        <v>163</v>
      </c>
    </row>
    <row r="83" spans="1:5" x14ac:dyDescent="0.25">
      <c r="A83" s="6" t="s">
        <v>141</v>
      </c>
      <c r="B83" s="5" t="s">
        <v>131</v>
      </c>
      <c r="C83" t="s">
        <v>16</v>
      </c>
      <c r="D83" s="5" t="s">
        <v>76</v>
      </c>
      <c r="E83" t="s">
        <v>223</v>
      </c>
    </row>
    <row r="84" spans="1:5" x14ac:dyDescent="0.25">
      <c r="B84" t="s">
        <v>132</v>
      </c>
      <c r="C84" t="s">
        <v>16</v>
      </c>
      <c r="D84" s="2" t="s">
        <v>130</v>
      </c>
    </row>
    <row r="86" spans="1:5" x14ac:dyDescent="0.25">
      <c r="A86" s="8">
        <f>COUNTA(Tabela4[Status])</f>
        <v>9</v>
      </c>
      <c r="B86" s="9">
        <f>COUNTA(Tabela4[Application])</f>
        <v>81</v>
      </c>
      <c r="C86" s="10">
        <f>A86/B86</f>
        <v>0.1111111111111111</v>
      </c>
      <c r="D86" s="9" t="s">
        <v>224</v>
      </c>
      <c r="E86" s="7"/>
    </row>
    <row r="87" spans="1:5" x14ac:dyDescent="0.25">
      <c r="A87" s="14"/>
      <c r="B87" s="15"/>
      <c r="C87" s="15"/>
      <c r="D87" s="15"/>
      <c r="E87" s="15"/>
    </row>
    <row r="88" spans="1:5" x14ac:dyDescent="0.25">
      <c r="A88" s="14"/>
      <c r="B88" s="15"/>
      <c r="C88" s="15"/>
      <c r="D88" s="15"/>
      <c r="E88" s="15"/>
    </row>
    <row r="89" spans="1:5" x14ac:dyDescent="0.25">
      <c r="A89" s="14"/>
      <c r="B89" s="15"/>
      <c r="C89" s="15"/>
      <c r="D89" s="15"/>
      <c r="E89" s="15"/>
    </row>
    <row r="90" spans="1:5" x14ac:dyDescent="0.25">
      <c r="A90" s="14"/>
      <c r="B90" s="15"/>
      <c r="C90" s="15"/>
      <c r="D90" s="15"/>
      <c r="E90" s="15"/>
    </row>
    <row r="91" spans="1:5" x14ac:dyDescent="0.25">
      <c r="A91" s="14"/>
      <c r="B91" s="15"/>
      <c r="C91" s="15"/>
      <c r="D91" s="15"/>
      <c r="E91" s="15"/>
    </row>
    <row r="92" spans="1:5" x14ac:dyDescent="0.25">
      <c r="A92" s="14"/>
      <c r="B92" s="15"/>
      <c r="C92" s="15"/>
      <c r="D92" s="15"/>
      <c r="E92" s="15"/>
    </row>
    <row r="93" spans="1:5" x14ac:dyDescent="0.25">
      <c r="A93" s="14"/>
      <c r="B93" s="15"/>
      <c r="C93" s="15"/>
      <c r="D93" s="15"/>
      <c r="E93" s="15"/>
    </row>
    <row r="94" spans="1:5" x14ac:dyDescent="0.25">
      <c r="A94" s="14"/>
      <c r="B94" s="15"/>
      <c r="C94" s="15"/>
      <c r="D94" s="15"/>
      <c r="E94" s="15"/>
    </row>
    <row r="95" spans="1:5" x14ac:dyDescent="0.25">
      <c r="A95" s="14"/>
      <c r="B95" s="15"/>
      <c r="C95" s="15"/>
      <c r="D95" s="15"/>
      <c r="E95" s="15"/>
    </row>
    <row r="96" spans="1:5" x14ac:dyDescent="0.25">
      <c r="A96" s="14"/>
      <c r="B96" s="15"/>
      <c r="C96" s="15"/>
      <c r="D96" s="15"/>
      <c r="E96" s="15"/>
    </row>
    <row r="97" spans="1:5" x14ac:dyDescent="0.25">
      <c r="A97" s="14"/>
      <c r="B97" s="15"/>
      <c r="C97" s="15"/>
      <c r="D97" s="15"/>
      <c r="E97" s="15"/>
    </row>
    <row r="98" spans="1:5" x14ac:dyDescent="0.25">
      <c r="A98" s="14"/>
      <c r="B98" s="15"/>
      <c r="C98" s="15"/>
      <c r="D98" s="15"/>
      <c r="E98" s="15"/>
    </row>
    <row r="99" spans="1:5" x14ac:dyDescent="0.25">
      <c r="A99" s="14"/>
      <c r="B99" s="15"/>
      <c r="C99" s="15"/>
      <c r="D99" s="15"/>
      <c r="E99" s="15"/>
    </row>
    <row r="100" spans="1:5" x14ac:dyDescent="0.25">
      <c r="A100" s="14"/>
      <c r="B100" s="15"/>
      <c r="C100" s="15"/>
      <c r="D100" s="15"/>
      <c r="E100" s="15"/>
    </row>
    <row r="101" spans="1:5" x14ac:dyDescent="0.25">
      <c r="A101" s="14"/>
      <c r="B101" s="15"/>
      <c r="C101" s="15"/>
      <c r="D101" s="15"/>
      <c r="E101" s="15"/>
    </row>
    <row r="102" spans="1:5" x14ac:dyDescent="0.25">
      <c r="A102" s="14"/>
      <c r="B102" s="15"/>
      <c r="C102" s="15"/>
      <c r="D102" s="15"/>
      <c r="E102" s="15"/>
    </row>
    <row r="103" spans="1:5" x14ac:dyDescent="0.25">
      <c r="A103" s="14"/>
      <c r="B103" s="15"/>
      <c r="C103" s="15"/>
      <c r="D103" s="15"/>
      <c r="E103" s="15"/>
    </row>
    <row r="104" spans="1:5" x14ac:dyDescent="0.25">
      <c r="A104" s="14"/>
      <c r="B104" s="15"/>
      <c r="C104" s="15"/>
      <c r="D104" s="15"/>
      <c r="E104" s="15"/>
    </row>
    <row r="105" spans="1:5" x14ac:dyDescent="0.25">
      <c r="A105" s="14"/>
      <c r="B105" s="15"/>
      <c r="C105" s="15"/>
      <c r="D105" s="15"/>
      <c r="E105" s="15"/>
    </row>
    <row r="106" spans="1:5" x14ac:dyDescent="0.25">
      <c r="A106" s="14"/>
      <c r="B106" s="15"/>
      <c r="C106" s="15"/>
      <c r="D106" s="15"/>
      <c r="E106" s="15"/>
    </row>
    <row r="107" spans="1:5" x14ac:dyDescent="0.25">
      <c r="A107" s="14"/>
      <c r="B107" s="15"/>
      <c r="C107" s="15"/>
      <c r="D107" s="15"/>
      <c r="E107" s="15"/>
    </row>
    <row r="108" spans="1:5" x14ac:dyDescent="0.25">
      <c r="A108" s="14"/>
      <c r="B108" s="15"/>
      <c r="C108" s="15"/>
      <c r="D108" s="15"/>
      <c r="E108" s="15"/>
    </row>
    <row r="109" spans="1:5" x14ac:dyDescent="0.25">
      <c r="A109" s="14"/>
      <c r="B109" s="15"/>
      <c r="C109" s="15"/>
      <c r="D109" s="15"/>
      <c r="E109" s="15"/>
    </row>
    <row r="110" spans="1:5" x14ac:dyDescent="0.25">
      <c r="A110" s="14"/>
      <c r="B110" s="15"/>
      <c r="C110" s="15"/>
      <c r="D110" s="15"/>
      <c r="E110" s="15"/>
    </row>
    <row r="111" spans="1:5" x14ac:dyDescent="0.25">
      <c r="A111" s="14"/>
      <c r="B111" s="15"/>
      <c r="C111" s="15"/>
      <c r="D111" s="15"/>
      <c r="E111" s="15"/>
    </row>
    <row r="112" spans="1:5" x14ac:dyDescent="0.25">
      <c r="A112" s="14"/>
      <c r="B112" s="15"/>
      <c r="C112" s="15"/>
      <c r="D112" s="15"/>
      <c r="E112" s="15"/>
    </row>
    <row r="113" spans="1:5" x14ac:dyDescent="0.25">
      <c r="A113" s="14"/>
      <c r="B113" s="15"/>
      <c r="C113" s="15"/>
      <c r="D113" s="15"/>
      <c r="E113" s="15"/>
    </row>
    <row r="114" spans="1:5" x14ac:dyDescent="0.25">
      <c r="A114" s="14"/>
      <c r="B114" s="15"/>
      <c r="C114" s="15"/>
      <c r="D114" s="15"/>
      <c r="E114" s="15"/>
    </row>
    <row r="115" spans="1:5" x14ac:dyDescent="0.25">
      <c r="A115" s="14"/>
      <c r="B115" s="15"/>
      <c r="C115" s="15"/>
      <c r="D115" s="15"/>
      <c r="E115" s="15"/>
    </row>
    <row r="116" spans="1:5" x14ac:dyDescent="0.25">
      <c r="A116" s="14"/>
      <c r="B116" s="15"/>
      <c r="C116" s="15"/>
      <c r="D116" s="15"/>
      <c r="E116" s="15"/>
    </row>
    <row r="117" spans="1:5" x14ac:dyDescent="0.25">
      <c r="A117" s="14"/>
      <c r="B117" s="15"/>
      <c r="C117" s="15"/>
      <c r="D117" s="15"/>
      <c r="E117" s="15"/>
    </row>
    <row r="118" spans="1:5" x14ac:dyDescent="0.25">
      <c r="A118" s="14"/>
      <c r="B118" s="15"/>
      <c r="C118" s="15"/>
      <c r="D118" s="15"/>
      <c r="E118" s="15"/>
    </row>
    <row r="119" spans="1:5" x14ac:dyDescent="0.25">
      <c r="A119" s="14"/>
      <c r="B119" s="15"/>
      <c r="C119" s="15"/>
      <c r="D119" s="15"/>
      <c r="E119" s="15"/>
    </row>
    <row r="120" spans="1:5" x14ac:dyDescent="0.25">
      <c r="A120" s="14"/>
      <c r="B120" s="15"/>
      <c r="C120" s="15"/>
      <c r="D120" s="15"/>
      <c r="E120" s="15"/>
    </row>
    <row r="121" spans="1:5" x14ac:dyDescent="0.25">
      <c r="A121" s="14"/>
      <c r="B121" s="15"/>
      <c r="C121" s="15"/>
      <c r="D121" s="15"/>
      <c r="E121" s="15"/>
    </row>
    <row r="122" spans="1:5" x14ac:dyDescent="0.25">
      <c r="A122" s="14"/>
      <c r="B122" s="15"/>
      <c r="C122" s="15"/>
      <c r="D122" s="15"/>
      <c r="E122" s="15"/>
    </row>
    <row r="123" spans="1:5" x14ac:dyDescent="0.25">
      <c r="A123" s="14"/>
      <c r="B123" s="15"/>
      <c r="C123" s="15"/>
      <c r="D123" s="15"/>
      <c r="E123" s="15"/>
    </row>
    <row r="124" spans="1:5" x14ac:dyDescent="0.25">
      <c r="A124" s="14"/>
      <c r="B124" s="15"/>
      <c r="C124" s="15"/>
      <c r="D124" s="15"/>
      <c r="E124" s="15"/>
    </row>
    <row r="125" spans="1:5" x14ac:dyDescent="0.25">
      <c r="A125" s="14"/>
      <c r="B125" s="15"/>
      <c r="C125" s="15"/>
      <c r="D125" s="15"/>
      <c r="E125" s="15"/>
    </row>
    <row r="126" spans="1:5" x14ac:dyDescent="0.25">
      <c r="A126" s="14"/>
      <c r="B126" s="15"/>
      <c r="C126" s="15"/>
      <c r="D126" s="15"/>
      <c r="E126" s="15"/>
    </row>
    <row r="127" spans="1:5" x14ac:dyDescent="0.25">
      <c r="A127" s="14"/>
      <c r="B127" s="15"/>
      <c r="C127" s="15"/>
      <c r="D127" s="15"/>
      <c r="E127" s="15"/>
    </row>
    <row r="128" spans="1:5" x14ac:dyDescent="0.25">
      <c r="A128" s="14"/>
      <c r="B128" s="15"/>
      <c r="C128" s="15"/>
      <c r="D128" s="15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76BB-C7A0-4113-A8B7-CE3A1DA3EABA}">
  <dimension ref="A1:E39"/>
  <sheetViews>
    <sheetView workbookViewId="0">
      <selection activeCell="E15" sqref="E15"/>
    </sheetView>
  </sheetViews>
  <sheetFormatPr defaultRowHeight="15" x14ac:dyDescent="0.25"/>
  <cols>
    <col min="1" max="1" width="16.5703125" customWidth="1"/>
    <col min="2" max="2" width="42.5703125" bestFit="1" customWidth="1"/>
    <col min="3" max="3" width="48.28515625" customWidth="1"/>
    <col min="4" max="4" width="53" customWidth="1"/>
    <col min="5" max="5" width="61.42578125" customWidth="1"/>
  </cols>
  <sheetData>
    <row r="1" spans="1:5" ht="15.75" x14ac:dyDescent="0.25">
      <c r="A1" s="8"/>
      <c r="B1" s="58" t="s">
        <v>225</v>
      </c>
      <c r="C1" s="58"/>
      <c r="D1" s="58"/>
      <c r="E1" s="58"/>
    </row>
    <row r="3" spans="1:5" x14ac:dyDescent="0.25">
      <c r="A3" s="26" t="s">
        <v>7</v>
      </c>
      <c r="B3" s="27" t="s">
        <v>226</v>
      </c>
      <c r="C3" s="27" t="s">
        <v>227</v>
      </c>
      <c r="D3" s="27" t="s">
        <v>228</v>
      </c>
      <c r="E3" s="28" t="s">
        <v>128</v>
      </c>
    </row>
    <row r="4" spans="1:5" x14ac:dyDescent="0.25">
      <c r="A4" s="16"/>
      <c r="B4" s="17" t="s">
        <v>229</v>
      </c>
      <c r="C4" s="19" t="s">
        <v>230</v>
      </c>
      <c r="D4" s="18" t="s">
        <v>231</v>
      </c>
      <c r="E4" s="19"/>
    </row>
    <row r="5" spans="1:5" x14ac:dyDescent="0.25">
      <c r="A5" s="20"/>
      <c r="B5" s="21" t="s">
        <v>232</v>
      </c>
      <c r="C5" s="23" t="s">
        <v>230</v>
      </c>
      <c r="D5" s="22" t="s">
        <v>231</v>
      </c>
      <c r="E5" s="23"/>
    </row>
    <row r="6" spans="1:5" x14ac:dyDescent="0.25">
      <c r="A6" s="16"/>
      <c r="B6" s="17" t="s">
        <v>233</v>
      </c>
      <c r="C6" s="19" t="s">
        <v>230</v>
      </c>
      <c r="D6" s="22" t="s">
        <v>231</v>
      </c>
      <c r="E6" s="19"/>
    </row>
    <row r="7" spans="1:5" x14ac:dyDescent="0.25">
      <c r="A7" s="20"/>
      <c r="B7" s="21" t="s">
        <v>234</v>
      </c>
      <c r="C7" s="23" t="s">
        <v>230</v>
      </c>
      <c r="D7" s="22" t="s">
        <v>231</v>
      </c>
      <c r="E7" s="23"/>
    </row>
    <row r="8" spans="1:5" x14ac:dyDescent="0.25">
      <c r="A8" s="16"/>
      <c r="B8" s="17" t="s">
        <v>235</v>
      </c>
      <c r="C8" s="19" t="s">
        <v>230</v>
      </c>
      <c r="D8" s="22" t="s">
        <v>231</v>
      </c>
      <c r="E8" s="19"/>
    </row>
    <row r="9" spans="1:5" x14ac:dyDescent="0.25">
      <c r="B9" t="s">
        <v>236</v>
      </c>
      <c r="C9" t="s">
        <v>230</v>
      </c>
      <c r="D9" s="22" t="s">
        <v>231</v>
      </c>
    </row>
    <row r="10" spans="1:5" x14ac:dyDescent="0.25">
      <c r="B10" t="s">
        <v>237</v>
      </c>
      <c r="C10" t="s">
        <v>230</v>
      </c>
      <c r="D10" s="22" t="s">
        <v>238</v>
      </c>
    </row>
    <row r="11" spans="1:5" x14ac:dyDescent="0.25">
      <c r="B11" t="s">
        <v>239</v>
      </c>
      <c r="C11" t="s">
        <v>230</v>
      </c>
      <c r="D11" s="22" t="s">
        <v>238</v>
      </c>
    </row>
    <row r="12" spans="1:5" x14ac:dyDescent="0.25">
      <c r="B12" t="s">
        <v>240</v>
      </c>
      <c r="C12" t="s">
        <v>230</v>
      </c>
      <c r="D12" s="22" t="s">
        <v>241</v>
      </c>
    </row>
    <row r="13" spans="1:5" x14ac:dyDescent="0.25">
      <c r="B13" t="s">
        <v>242</v>
      </c>
      <c r="C13" t="s">
        <v>230</v>
      </c>
      <c r="D13" s="22" t="s">
        <v>241</v>
      </c>
    </row>
    <row r="14" spans="1:5" x14ac:dyDescent="0.25">
      <c r="B14" t="s">
        <v>243</v>
      </c>
      <c r="C14" t="s">
        <v>230</v>
      </c>
      <c r="D14" s="22" t="s">
        <v>241</v>
      </c>
    </row>
    <row r="15" spans="1:5" x14ac:dyDescent="0.25">
      <c r="B15" t="s">
        <v>244</v>
      </c>
      <c r="C15" t="s">
        <v>245</v>
      </c>
      <c r="D15" s="5" t="s">
        <v>76</v>
      </c>
    </row>
    <row r="16" spans="1:5" x14ac:dyDescent="0.25">
      <c r="B16" t="s">
        <v>246</v>
      </c>
      <c r="C16" t="s">
        <v>245</v>
      </c>
      <c r="D16" s="5" t="s">
        <v>76</v>
      </c>
    </row>
    <row r="17" spans="2:4" x14ac:dyDescent="0.25">
      <c r="B17" t="s">
        <v>247</v>
      </c>
      <c r="C17" t="s">
        <v>245</v>
      </c>
      <c r="D17" s="22" t="s">
        <v>248</v>
      </c>
    </row>
    <row r="18" spans="2:4" x14ac:dyDescent="0.25">
      <c r="B18" t="s">
        <v>249</v>
      </c>
      <c r="C18" t="s">
        <v>245</v>
      </c>
      <c r="D18" s="22" t="s">
        <v>248</v>
      </c>
    </row>
    <row r="19" spans="2:4" x14ac:dyDescent="0.25">
      <c r="B19" t="s">
        <v>250</v>
      </c>
      <c r="C19" t="s">
        <v>245</v>
      </c>
      <c r="D19" s="22" t="s">
        <v>248</v>
      </c>
    </row>
    <row r="20" spans="2:4" x14ac:dyDescent="0.25">
      <c r="B20" t="s">
        <v>251</v>
      </c>
      <c r="C20" t="s">
        <v>245</v>
      </c>
      <c r="D20" s="22" t="s">
        <v>248</v>
      </c>
    </row>
    <row r="21" spans="2:4" x14ac:dyDescent="0.25">
      <c r="B21" t="s">
        <v>252</v>
      </c>
      <c r="C21" t="s">
        <v>245</v>
      </c>
      <c r="D21" s="22" t="s">
        <v>248</v>
      </c>
    </row>
    <row r="22" spans="2:4" x14ac:dyDescent="0.25">
      <c r="B22" t="s">
        <v>253</v>
      </c>
      <c r="C22" t="s">
        <v>245</v>
      </c>
      <c r="D22" s="22" t="s">
        <v>248</v>
      </c>
    </row>
    <row r="23" spans="2:4" x14ac:dyDescent="0.25">
      <c r="B23" t="s">
        <v>254</v>
      </c>
      <c r="C23" t="s">
        <v>245</v>
      </c>
      <c r="D23" s="22" t="s">
        <v>248</v>
      </c>
    </row>
    <row r="24" spans="2:4" x14ac:dyDescent="0.25">
      <c r="B24" t="s">
        <v>255</v>
      </c>
      <c r="C24" t="s">
        <v>245</v>
      </c>
      <c r="D24" s="22" t="s">
        <v>248</v>
      </c>
    </row>
    <row r="25" spans="2:4" x14ac:dyDescent="0.25">
      <c r="B25" t="s">
        <v>256</v>
      </c>
      <c r="C25" t="s">
        <v>245</v>
      </c>
      <c r="D25" s="22" t="s">
        <v>248</v>
      </c>
    </row>
    <row r="26" spans="2:4" x14ac:dyDescent="0.25">
      <c r="B26" t="s">
        <v>257</v>
      </c>
      <c r="C26" t="s">
        <v>245</v>
      </c>
      <c r="D26" s="22" t="s">
        <v>248</v>
      </c>
    </row>
    <row r="27" spans="2:4" x14ac:dyDescent="0.25">
      <c r="B27" t="s">
        <v>258</v>
      </c>
      <c r="C27" t="s">
        <v>245</v>
      </c>
      <c r="D27" s="22" t="s">
        <v>248</v>
      </c>
    </row>
    <row r="28" spans="2:4" x14ac:dyDescent="0.25">
      <c r="B28" s="24" t="s">
        <v>121</v>
      </c>
      <c r="C28" s="25" t="s">
        <v>259</v>
      </c>
      <c r="D28" s="22" t="s">
        <v>241</v>
      </c>
    </row>
    <row r="29" spans="2:4" x14ac:dyDescent="0.25">
      <c r="B29" t="s">
        <v>260</v>
      </c>
      <c r="C29" t="s">
        <v>261</v>
      </c>
      <c r="D29" s="22" t="s">
        <v>231</v>
      </c>
    </row>
    <row r="30" spans="2:4" x14ac:dyDescent="0.25">
      <c r="B30" t="s">
        <v>262</v>
      </c>
      <c r="C30" t="s">
        <v>263</v>
      </c>
      <c r="D30" s="22" t="s">
        <v>264</v>
      </c>
    </row>
    <row r="31" spans="2:4" x14ac:dyDescent="0.25">
      <c r="B31" t="s">
        <v>265</v>
      </c>
      <c r="C31" t="s">
        <v>263</v>
      </c>
      <c r="D31" s="22" t="s">
        <v>264</v>
      </c>
    </row>
    <row r="32" spans="2:4" x14ac:dyDescent="0.25">
      <c r="B32" t="s">
        <v>266</v>
      </c>
      <c r="C32" t="s">
        <v>263</v>
      </c>
      <c r="D32" s="22" t="s">
        <v>264</v>
      </c>
    </row>
    <row r="33" spans="2:4" x14ac:dyDescent="0.25">
      <c r="B33" t="s">
        <v>267</v>
      </c>
      <c r="C33" t="s">
        <v>263</v>
      </c>
      <c r="D33" s="22" t="s">
        <v>264</v>
      </c>
    </row>
    <row r="34" spans="2:4" x14ac:dyDescent="0.25">
      <c r="B34" t="s">
        <v>268</v>
      </c>
      <c r="C34" t="s">
        <v>263</v>
      </c>
      <c r="D34" s="22" t="s">
        <v>269</v>
      </c>
    </row>
    <row r="35" spans="2:4" x14ac:dyDescent="0.25">
      <c r="B35" t="s">
        <v>270</v>
      </c>
      <c r="C35" t="s">
        <v>263</v>
      </c>
      <c r="D35" s="22" t="s">
        <v>269</v>
      </c>
    </row>
    <row r="36" spans="2:4" x14ac:dyDescent="0.25">
      <c r="B36" t="s">
        <v>271</v>
      </c>
      <c r="C36" t="s">
        <v>263</v>
      </c>
      <c r="D36" s="22" t="s">
        <v>269</v>
      </c>
    </row>
    <row r="37" spans="2:4" x14ac:dyDescent="0.25">
      <c r="B37" t="s">
        <v>272</v>
      </c>
      <c r="C37" t="s">
        <v>263</v>
      </c>
      <c r="D37" s="22" t="s">
        <v>269</v>
      </c>
    </row>
    <row r="38" spans="2:4" x14ac:dyDescent="0.25">
      <c r="B38" t="s">
        <v>273</v>
      </c>
      <c r="C38" t="s">
        <v>263</v>
      </c>
      <c r="D38" s="22" t="s">
        <v>269</v>
      </c>
    </row>
    <row r="39" spans="2:4" x14ac:dyDescent="0.25">
      <c r="B39" t="s">
        <v>274</v>
      </c>
      <c r="C39" t="s">
        <v>263</v>
      </c>
      <c r="D39" s="22" t="s">
        <v>269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1049-E1E0-4DAD-B1BB-4402E243CE31}">
  <dimension ref="A2:N32"/>
  <sheetViews>
    <sheetView workbookViewId="0"/>
  </sheetViews>
  <sheetFormatPr defaultRowHeight="15" x14ac:dyDescent="0.25"/>
  <cols>
    <col min="2" max="8" width="17.28515625" customWidth="1"/>
  </cols>
  <sheetData>
    <row r="2" spans="1:14" x14ac:dyDescent="0.25">
      <c r="B2" s="34" t="s">
        <v>275</v>
      </c>
      <c r="C2" s="51" t="s">
        <v>276</v>
      </c>
      <c r="D2" s="51" t="s">
        <v>277</v>
      </c>
      <c r="E2" s="51" t="s">
        <v>278</v>
      </c>
      <c r="F2" s="51" t="s">
        <v>279</v>
      </c>
      <c r="G2" s="51" t="s">
        <v>280</v>
      </c>
      <c r="H2" s="34" t="s">
        <v>281</v>
      </c>
    </row>
    <row r="3" spans="1:14" x14ac:dyDescent="0.25">
      <c r="A3" t="s">
        <v>282</v>
      </c>
      <c r="B3" s="34">
        <v>21</v>
      </c>
      <c r="C3" s="36">
        <v>22</v>
      </c>
      <c r="D3" s="37">
        <v>23</v>
      </c>
      <c r="E3" s="37">
        <v>24</v>
      </c>
      <c r="F3" s="37">
        <v>25</v>
      </c>
      <c r="G3" s="38">
        <v>26</v>
      </c>
      <c r="H3" s="34">
        <v>27</v>
      </c>
    </row>
    <row r="4" spans="1:14" ht="45" customHeight="1" x14ac:dyDescent="0.25">
      <c r="B4" s="35"/>
      <c r="C4" s="41"/>
      <c r="D4" s="33" t="s">
        <v>119</v>
      </c>
      <c r="E4" s="33"/>
      <c r="F4" s="33"/>
      <c r="G4" s="42"/>
      <c r="H4" s="35"/>
      <c r="J4" s="59" t="s">
        <v>283</v>
      </c>
      <c r="K4" s="59"/>
      <c r="L4" s="59"/>
      <c r="M4" s="59"/>
      <c r="N4" s="59"/>
    </row>
    <row r="5" spans="1:14" x14ac:dyDescent="0.25">
      <c r="A5" t="s">
        <v>284</v>
      </c>
      <c r="B5" s="34">
        <v>28</v>
      </c>
      <c r="C5" s="36">
        <v>29</v>
      </c>
      <c r="D5" s="37">
        <v>30</v>
      </c>
      <c r="E5" s="37">
        <v>31</v>
      </c>
      <c r="F5" s="37">
        <v>1</v>
      </c>
      <c r="G5" s="38">
        <v>2</v>
      </c>
      <c r="H5" s="34">
        <v>3</v>
      </c>
    </row>
    <row r="6" spans="1:14" ht="45" customHeight="1" x14ac:dyDescent="0.25">
      <c r="B6" s="35"/>
      <c r="C6" s="43" t="s">
        <v>285</v>
      </c>
      <c r="D6" s="33"/>
      <c r="E6" s="44" t="s">
        <v>286</v>
      </c>
      <c r="F6" s="33"/>
      <c r="G6" s="42"/>
      <c r="H6" s="35"/>
    </row>
    <row r="7" spans="1:14" x14ac:dyDescent="0.25">
      <c r="B7" s="34">
        <v>4</v>
      </c>
      <c r="C7" s="36">
        <v>5</v>
      </c>
      <c r="D7" s="37">
        <v>6</v>
      </c>
      <c r="E7" s="37">
        <v>7</v>
      </c>
      <c r="F7" s="37">
        <v>8</v>
      </c>
      <c r="G7" s="38">
        <v>9</v>
      </c>
      <c r="H7" s="34">
        <v>10</v>
      </c>
    </row>
    <row r="8" spans="1:14" ht="45" customHeight="1" x14ac:dyDescent="0.25">
      <c r="B8" s="35"/>
      <c r="C8" s="46" t="s">
        <v>287</v>
      </c>
      <c r="D8" s="33"/>
      <c r="E8" s="33"/>
      <c r="F8" s="47" t="s">
        <v>288</v>
      </c>
      <c r="G8" s="42"/>
      <c r="H8" s="35"/>
    </row>
    <row r="9" spans="1:14" x14ac:dyDescent="0.25">
      <c r="B9" s="34">
        <v>11</v>
      </c>
      <c r="C9" s="36">
        <v>12</v>
      </c>
      <c r="D9" s="37">
        <v>13</v>
      </c>
      <c r="E9" s="37">
        <v>14</v>
      </c>
      <c r="F9" s="37">
        <v>15</v>
      </c>
      <c r="G9" s="38">
        <v>16</v>
      </c>
      <c r="H9" s="34">
        <v>17</v>
      </c>
    </row>
    <row r="10" spans="1:14" ht="45" customHeight="1" x14ac:dyDescent="0.25">
      <c r="B10" s="35"/>
      <c r="C10" s="48" t="s">
        <v>289</v>
      </c>
      <c r="D10" s="33"/>
      <c r="E10" s="49" t="s">
        <v>290</v>
      </c>
      <c r="F10" s="33"/>
      <c r="G10" s="50" t="s">
        <v>291</v>
      </c>
      <c r="H10" s="35"/>
    </row>
    <row r="11" spans="1:14" x14ac:dyDescent="0.25">
      <c r="B11" s="34">
        <v>18</v>
      </c>
      <c r="C11" s="36">
        <v>19</v>
      </c>
      <c r="D11" s="37">
        <v>20</v>
      </c>
      <c r="E11" s="37">
        <v>21</v>
      </c>
      <c r="F11" s="37">
        <v>22</v>
      </c>
      <c r="G11" s="38">
        <v>23</v>
      </c>
      <c r="H11" s="34">
        <v>24</v>
      </c>
    </row>
    <row r="12" spans="1:14" ht="45" customHeight="1" x14ac:dyDescent="0.25">
      <c r="B12" s="35"/>
      <c r="C12" s="41"/>
      <c r="D12" s="33"/>
      <c r="E12" s="49" t="s">
        <v>78</v>
      </c>
      <c r="F12" s="33"/>
      <c r="G12" s="42"/>
      <c r="H12" s="35"/>
    </row>
    <row r="13" spans="1:14" x14ac:dyDescent="0.25">
      <c r="A13" t="s">
        <v>292</v>
      </c>
      <c r="B13" s="34">
        <v>25</v>
      </c>
      <c r="C13" s="36">
        <v>26</v>
      </c>
      <c r="D13" s="37">
        <v>27</v>
      </c>
      <c r="E13" s="37">
        <v>28</v>
      </c>
      <c r="F13" s="37">
        <v>29</v>
      </c>
      <c r="G13" s="38">
        <v>30</v>
      </c>
      <c r="H13" s="34">
        <v>1</v>
      </c>
    </row>
    <row r="14" spans="1:14" ht="45" customHeight="1" x14ac:dyDescent="0.25">
      <c r="B14" s="35"/>
      <c r="C14" s="45" t="s">
        <v>22</v>
      </c>
      <c r="D14" s="39"/>
      <c r="E14" s="39"/>
      <c r="F14" s="39"/>
      <c r="G14" s="40"/>
      <c r="H14" s="35"/>
    </row>
    <row r="15" spans="1:14" x14ac:dyDescent="0.25">
      <c r="B15" s="34">
        <v>2</v>
      </c>
      <c r="C15">
        <v>3</v>
      </c>
      <c r="D15">
        <v>4</v>
      </c>
      <c r="E15">
        <v>5</v>
      </c>
      <c r="F15">
        <v>6</v>
      </c>
      <c r="G15">
        <v>7</v>
      </c>
      <c r="H15" s="34">
        <v>8</v>
      </c>
    </row>
    <row r="16" spans="1:14" ht="45" customHeight="1" x14ac:dyDescent="0.25">
      <c r="B16" s="35"/>
      <c r="C16" s="33"/>
      <c r="D16" s="33"/>
      <c r="E16" s="33"/>
      <c r="F16" s="33"/>
      <c r="G16" s="33"/>
      <c r="H16" s="35"/>
    </row>
    <row r="17" spans="1:8" x14ac:dyDescent="0.25">
      <c r="B17" s="34">
        <v>9</v>
      </c>
      <c r="C17">
        <v>10</v>
      </c>
      <c r="D17">
        <v>11</v>
      </c>
      <c r="E17">
        <v>12</v>
      </c>
      <c r="F17">
        <v>13</v>
      </c>
      <c r="G17">
        <v>14</v>
      </c>
      <c r="H17" s="34">
        <v>15</v>
      </c>
    </row>
    <row r="18" spans="1:8" ht="45" customHeight="1" x14ac:dyDescent="0.25">
      <c r="B18" s="35"/>
      <c r="C18" s="33"/>
      <c r="D18" s="33"/>
      <c r="E18" s="33"/>
      <c r="F18" s="33"/>
      <c r="G18" s="33"/>
      <c r="H18" s="35"/>
    </row>
    <row r="19" spans="1:8" x14ac:dyDescent="0.25">
      <c r="B19" s="34">
        <v>16</v>
      </c>
      <c r="C19">
        <v>17</v>
      </c>
      <c r="D19">
        <v>18</v>
      </c>
      <c r="E19">
        <v>19</v>
      </c>
      <c r="F19">
        <v>20</v>
      </c>
      <c r="G19">
        <v>21</v>
      </c>
      <c r="H19" s="34">
        <v>22</v>
      </c>
    </row>
    <row r="20" spans="1:8" ht="45" customHeight="1" x14ac:dyDescent="0.25">
      <c r="B20" s="35"/>
      <c r="C20" s="33"/>
      <c r="D20" s="33"/>
      <c r="E20" s="33"/>
      <c r="F20" s="33"/>
      <c r="G20" s="33"/>
      <c r="H20" s="35"/>
    </row>
    <row r="21" spans="1:8" x14ac:dyDescent="0.25">
      <c r="B21" s="34">
        <v>23</v>
      </c>
      <c r="C21">
        <v>24</v>
      </c>
      <c r="D21">
        <v>25</v>
      </c>
      <c r="E21">
        <v>26</v>
      </c>
      <c r="F21">
        <v>27</v>
      </c>
      <c r="G21">
        <v>28</v>
      </c>
      <c r="H21" s="34">
        <v>29</v>
      </c>
    </row>
    <row r="22" spans="1:8" ht="45" customHeight="1" x14ac:dyDescent="0.25">
      <c r="B22" s="35"/>
      <c r="C22" s="33"/>
      <c r="D22" s="33"/>
      <c r="E22" s="33"/>
      <c r="F22" s="33"/>
      <c r="G22" s="33"/>
      <c r="H22" s="35"/>
    </row>
    <row r="23" spans="1:8" x14ac:dyDescent="0.25">
      <c r="A23" t="s">
        <v>293</v>
      </c>
      <c r="B23" s="34">
        <v>30</v>
      </c>
      <c r="C23">
        <v>1</v>
      </c>
      <c r="D23">
        <v>2</v>
      </c>
      <c r="E23">
        <v>3</v>
      </c>
      <c r="F23">
        <v>4</v>
      </c>
      <c r="G23">
        <v>5</v>
      </c>
      <c r="H23" s="34">
        <v>6</v>
      </c>
    </row>
    <row r="24" spans="1:8" ht="45" customHeight="1" x14ac:dyDescent="0.25">
      <c r="B24" s="35"/>
      <c r="C24" s="33"/>
      <c r="D24" s="33"/>
      <c r="E24" s="33"/>
      <c r="F24" s="33"/>
      <c r="G24" s="33"/>
      <c r="H24" s="35"/>
    </row>
    <row r="25" spans="1:8" x14ac:dyDescent="0.25">
      <c r="B25" s="34">
        <v>7</v>
      </c>
      <c r="C25">
        <v>8</v>
      </c>
      <c r="D25">
        <v>9</v>
      </c>
      <c r="E25">
        <v>10</v>
      </c>
      <c r="F25">
        <v>11</v>
      </c>
      <c r="G25">
        <v>12</v>
      </c>
      <c r="H25" s="34">
        <v>13</v>
      </c>
    </row>
    <row r="26" spans="1:8" ht="45" customHeight="1" x14ac:dyDescent="0.25">
      <c r="B26" s="35"/>
      <c r="C26" s="33"/>
      <c r="D26" s="33"/>
      <c r="E26" s="33"/>
      <c r="F26" s="33"/>
      <c r="G26" s="33"/>
      <c r="H26" s="35"/>
    </row>
    <row r="27" spans="1:8" x14ac:dyDescent="0.25">
      <c r="B27" s="34">
        <v>14</v>
      </c>
      <c r="C27">
        <v>15</v>
      </c>
      <c r="D27">
        <v>16</v>
      </c>
      <c r="E27">
        <v>17</v>
      </c>
      <c r="F27">
        <v>18</v>
      </c>
      <c r="G27">
        <v>19</v>
      </c>
      <c r="H27" s="34">
        <v>20</v>
      </c>
    </row>
    <row r="28" spans="1:8" ht="45" customHeight="1" x14ac:dyDescent="0.25">
      <c r="B28" s="35"/>
      <c r="C28" s="33"/>
      <c r="D28" s="33"/>
      <c r="E28" s="33"/>
      <c r="F28" s="33"/>
      <c r="G28" s="33"/>
      <c r="H28" s="35"/>
    </row>
    <row r="29" spans="1:8" x14ac:dyDescent="0.25">
      <c r="B29" s="34">
        <v>21</v>
      </c>
      <c r="C29">
        <v>22</v>
      </c>
      <c r="D29">
        <v>23</v>
      </c>
      <c r="E29">
        <v>24</v>
      </c>
      <c r="F29">
        <v>25</v>
      </c>
      <c r="G29">
        <v>26</v>
      </c>
      <c r="H29" s="34">
        <v>27</v>
      </c>
    </row>
    <row r="30" spans="1:8" ht="45" customHeight="1" x14ac:dyDescent="0.25">
      <c r="B30" s="35"/>
      <c r="C30" s="33"/>
      <c r="D30" s="33"/>
      <c r="E30" s="33"/>
      <c r="F30" s="33"/>
      <c r="G30" s="33"/>
      <c r="H30" s="35"/>
    </row>
    <row r="31" spans="1:8" x14ac:dyDescent="0.25">
      <c r="B31" s="34">
        <v>28</v>
      </c>
      <c r="C31">
        <v>29</v>
      </c>
      <c r="D31">
        <v>30</v>
      </c>
      <c r="H31" s="34"/>
    </row>
    <row r="32" spans="1:8" ht="45" customHeight="1" x14ac:dyDescent="0.25">
      <c r="B32" s="35"/>
      <c r="C32" s="33"/>
      <c r="D32" s="33"/>
      <c r="E32" s="33"/>
      <c r="F32" s="33"/>
      <c r="G32" s="33"/>
      <c r="H32" s="35"/>
    </row>
  </sheetData>
  <mergeCells count="1">
    <mergeCell ref="J4:N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D742-7F98-48A4-A162-6E5A0F521853}">
  <dimension ref="A2:A3"/>
  <sheetViews>
    <sheetView workbookViewId="0">
      <selection activeCell="A3" sqref="A3"/>
    </sheetView>
  </sheetViews>
  <sheetFormatPr defaultRowHeight="15" x14ac:dyDescent="0.25"/>
  <sheetData>
    <row r="2" spans="1:1" x14ac:dyDescent="0.25">
      <c r="A2" s="52" t="s">
        <v>176</v>
      </c>
    </row>
    <row r="3" spans="1:1" x14ac:dyDescent="0.25">
      <c r="A3" s="52" t="s">
        <v>195</v>
      </c>
    </row>
  </sheetData>
  <hyperlinks>
    <hyperlink ref="A2" r:id="rId1" tooltip="experian-identity-migration-domain-services" display="https://code.experian.local/projects/DSBR/repos/experian-identity-migration-domain-services/browse" xr:uid="{A73233B6-4C23-4B5E-9BE7-2F974DCABD8C}"/>
    <hyperlink ref="A3" r:id="rId2" tooltip="experian-ad-changes-consumer" display="https://code.experian.local/projects/DSBR/repos/experian-ad-changes-consumer/browse" xr:uid="{20F57B90-71C6-4A0D-9231-29057ECEDD4B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081A643BB14488298D2E1CDD7A263" ma:contentTypeVersion="12" ma:contentTypeDescription="Create a new document." ma:contentTypeScope="" ma:versionID="0f251fafe5411c65b16dd416ecc03255">
  <xsd:schema xmlns:xsd="http://www.w3.org/2001/XMLSchema" xmlns:xs="http://www.w3.org/2001/XMLSchema" xmlns:p="http://schemas.microsoft.com/office/2006/metadata/properties" xmlns:ns3="1f44b80c-e647-410c-907b-8fa6d4a3681c" xmlns:ns4="2c5aaf30-1ac0-4fe7-bc13-5aa0ee7fc96a" targetNamespace="http://schemas.microsoft.com/office/2006/metadata/properties" ma:root="true" ma:fieldsID="3300584ae1d975313decdae6a00391db" ns3:_="" ns4:_="">
    <xsd:import namespace="1f44b80c-e647-410c-907b-8fa6d4a3681c"/>
    <xsd:import namespace="2c5aaf30-1ac0-4fe7-bc13-5aa0ee7fc96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4b80c-e647-410c-907b-8fa6d4a368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aaf30-1ac0-4fe7-bc13-5aa0ee7fc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5B83DF-6035-450E-A9A2-99788E507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44b80c-e647-410c-907b-8fa6d4a3681c"/>
    <ds:schemaRef ds:uri="2c5aaf30-1ac0-4fe7-bc13-5aa0ee7fc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2A4B10-B51A-4350-B741-7FC80474CF5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6683E55-793E-4747-AE00-8D93C16748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CLUSTER DOCUMENT DB</vt:lpstr>
      <vt:lpstr>EKS NAMESPACE</vt:lpstr>
      <vt:lpstr>AMAZON MQ VIRTUAL HOSTS</vt:lpstr>
      <vt:lpstr>MONGODB ISSUE PLANNING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Marcos</dc:creator>
  <cp:keywords/>
  <dc:description/>
  <cp:lastModifiedBy>Cunha, Marcos</cp:lastModifiedBy>
  <cp:revision/>
  <dcterms:created xsi:type="dcterms:W3CDTF">2022-06-29T15:59:07Z</dcterms:created>
  <dcterms:modified xsi:type="dcterms:W3CDTF">2023-03-16T15:22:40Z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0x0101007AC081A643BB14488298D2E1CDD7A263</vt:lpwstr>
  </property>
</Properties>
</file>