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xperian-my.sharepoint.com/personal/davi_tanajura_br_experian_com/Documents/Migração Bancos - nova conta/"/>
    </mc:Choice>
  </mc:AlternateContent>
  <xr:revisionPtr revIDLastSave="129" documentId="8_{B87648C3-62A8-4D36-AEEF-2169E09A5999}" xr6:coauthVersionLast="47" xr6:coauthVersionMax="47" xr10:uidLastSave="{064FA8AB-7420-4A65-A3AA-4832F9A461A5}"/>
  <bookViews>
    <workbookView xWindow="-108" yWindow="-108" windowWidth="23256" windowHeight="12576" xr2:uid="{960B7547-C76D-48AF-907D-89668E9D15D9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8" i="1" l="1"/>
  <c r="G38" i="1"/>
  <c r="E38" i="1"/>
  <c r="D38" i="1"/>
  <c r="D35" i="1"/>
  <c r="E35" i="1"/>
  <c r="F35" i="1"/>
  <c r="G35" i="1"/>
  <c r="H35" i="1"/>
  <c r="D36" i="1"/>
  <c r="E36" i="1"/>
  <c r="F36" i="1"/>
  <c r="G36" i="1"/>
  <c r="H36" i="1"/>
  <c r="H27" i="1"/>
  <c r="G27" i="1"/>
  <c r="E27" i="1"/>
  <c r="D27" i="1"/>
  <c r="D24" i="1"/>
  <c r="E24" i="1"/>
  <c r="F24" i="1"/>
  <c r="G24" i="1"/>
  <c r="H24" i="1"/>
  <c r="D25" i="1"/>
  <c r="E25" i="1"/>
  <c r="F25" i="1"/>
  <c r="G25" i="1"/>
  <c r="H25" i="1"/>
  <c r="C25" i="1"/>
  <c r="C24" i="1"/>
  <c r="C35" i="1"/>
  <c r="C36" i="1"/>
  <c r="H26" i="1"/>
  <c r="G26" i="1"/>
  <c r="F26" i="1"/>
  <c r="E26" i="1"/>
  <c r="D26" i="1"/>
  <c r="C26" i="1"/>
  <c r="H23" i="1"/>
  <c r="G23" i="1"/>
  <c r="F23" i="1"/>
  <c r="E23" i="1"/>
  <c r="D23" i="1"/>
  <c r="C23" i="1"/>
  <c r="B23" i="1"/>
  <c r="H16" i="1"/>
  <c r="G16" i="1"/>
  <c r="F16" i="1"/>
  <c r="E16" i="1"/>
  <c r="D16" i="1"/>
  <c r="C16" i="1"/>
  <c r="H15" i="1"/>
  <c r="G15" i="1"/>
  <c r="F15" i="1"/>
  <c r="E15" i="1"/>
  <c r="D15" i="1"/>
  <c r="C15" i="1"/>
  <c r="H14" i="1"/>
  <c r="G14" i="1"/>
  <c r="F14" i="1"/>
  <c r="E14" i="1"/>
  <c r="D14" i="1"/>
  <c r="C14" i="1"/>
  <c r="H13" i="1"/>
  <c r="G13" i="1"/>
  <c r="F13" i="1"/>
  <c r="E13" i="1"/>
  <c r="D13" i="1"/>
  <c r="C13" i="1"/>
  <c r="B13" i="1"/>
  <c r="H7" i="1"/>
  <c r="H6" i="1"/>
  <c r="H5" i="1"/>
  <c r="H4" i="1"/>
  <c r="G7" i="1"/>
  <c r="G6" i="1"/>
  <c r="G5" i="1"/>
  <c r="G4" i="1"/>
  <c r="F37" i="1"/>
  <c r="F34" i="1"/>
  <c r="F7" i="1"/>
  <c r="F6" i="1"/>
  <c r="F5" i="1"/>
  <c r="F4" i="1"/>
  <c r="E37" i="1"/>
  <c r="E34" i="1"/>
  <c r="E7" i="1"/>
  <c r="E6" i="1"/>
  <c r="E5" i="1"/>
  <c r="E4" i="1"/>
  <c r="D37" i="1"/>
  <c r="D34" i="1"/>
  <c r="D7" i="1"/>
  <c r="D6" i="1"/>
  <c r="D5" i="1"/>
  <c r="D4" i="1"/>
  <c r="C37" i="1"/>
  <c r="C6" i="1"/>
  <c r="C7" i="1"/>
  <c r="C5" i="1"/>
  <c r="C34" i="1"/>
  <c r="C4" i="1"/>
  <c r="B34" i="1"/>
  <c r="B4" i="1"/>
  <c r="F38" i="1" l="1"/>
  <c r="F27" i="1"/>
  <c r="G8" i="1"/>
  <c r="H8" i="1"/>
  <c r="C27" i="1"/>
  <c r="C17" i="1"/>
  <c r="E17" i="1"/>
  <c r="D17" i="1"/>
  <c r="F17" i="1"/>
  <c r="G17" i="1"/>
  <c r="H17" i="1"/>
  <c r="C38" i="1"/>
  <c r="C8" i="1"/>
  <c r="F8" i="1"/>
  <c r="E8" i="1"/>
  <c r="D8" i="1"/>
</calcChain>
</file>

<file path=xl/sharedStrings.xml><?xml version="1.0" encoding="utf-8"?>
<sst xmlns="http://schemas.openxmlformats.org/spreadsheetml/2006/main" count="36" uniqueCount="15">
  <si>
    <t>Copiados</t>
  </si>
  <si>
    <t>Tamanho total</t>
  </si>
  <si>
    <t>Realizado</t>
  </si>
  <si>
    <t>salesFraudScreening</t>
  </si>
  <si>
    <t>showcase</t>
  </si>
  <si>
    <t>Copiado no intervalo</t>
  </si>
  <si>
    <t>Intervalo</t>
  </si>
  <si>
    <t>Faltam</t>
  </si>
  <si>
    <t>Horário estimado de término</t>
  </si>
  <si>
    <t>account</t>
  </si>
  <si>
    <t>device</t>
  </si>
  <si>
    <t>/dev/nvme2n1            xfs       1.5T  158G  1.4T  11% /var/lib/mongo</t>
  </si>
  <si>
    <t>/dev/nvme2n1            xfs       2.0T  291G  1.7T  15% /var/lib/mongo</t>
  </si>
  <si>
    <t>/dev/nvme2n1            xfs       1.5T  199G  1.3T  14% /var/lib/mongo</t>
  </si>
  <si>
    <t>/dev/nvme2n1            xfs       2.0T  702G  1.3T  36% /var/lib/mongo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</si>
</sst>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[$-F400]h:mm:ss\ AM/PM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0">
    <xf numFmtId="0" fontId="0" fillId="0" borderId="0" xfId="0"/>
    <xf numFmtId="3" fontId="0" fillId="0" borderId="0" xfId="0" applyNumberFormat="1"/>
    <xf numFmtId="10" fontId="0" fillId="0" borderId="0" xfId="2" applyNumberFormat="1" applyFont="1"/>
    <xf numFmtId="0" fontId="2" fillId="0" borderId="0" xfId="0" applyFont="1"/>
    <xf numFmtId="21" fontId="0" fillId="0" borderId="0" xfId="0" applyNumberFormat="1"/>
    <xf numFmtId="21" fontId="0" fillId="0" borderId="0" xfId="1" applyNumberFormat="1" applyFont="1"/>
    <xf numFmtId="164" fontId="0" fillId="0" borderId="0" xfId="1" applyNumberFormat="1" applyFont="1"/>
    <xf numFmtId="164" fontId="3" fillId="2" borderId="0" xfId="1" applyNumberFormat="1" applyFont="1" applyFill="1"/>
    <xf numFmtId="0" fontId="3" fillId="2" borderId="0" xfId="0" applyFont="1" applyFill="1" applyAlignment="1">
      <alignment horizontal="center"/>
    </xf>
    <xf numFmtId="20" fontId="0" fillId="0" borderId="0" xfId="0" applyNumberFormat="1"/>
  </cellXfs>
  <cellStyles count="3">
    <cellStyle name="Normal" xfId="0" builtinId="0"/>
    <cellStyle name="Porcentagem" xfId="2" builtinId="5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53AEFB-8C72-46A6-AB97-D7F3D0AD97DB}">
  <dimension ref="A1:T41"/>
  <sheetViews>
    <sheetView tabSelected="1" topLeftCell="A17" workbookViewId="0">
      <selection activeCell="A20" sqref="A20:F27"/>
    </sheetView>
  </sheetViews>
  <sheetFormatPr defaultRowHeight="14.4" x14ac:dyDescent="0.3"/>
  <cols>
    <col min="1" max="1" width="24.88671875" bestFit="1" customWidth="1"/>
    <col min="2" max="2" width="16.5546875" customWidth="1"/>
    <col min="3" max="4" width="16.5546875" hidden="1" customWidth="1"/>
    <col min="5" max="5" width="20.21875" hidden="1" customWidth="1"/>
    <col min="6" max="20" width="16.5546875" customWidth="1"/>
  </cols>
  <sheetData>
    <row r="1" spans="1:20" ht="18" x14ac:dyDescent="0.35">
      <c r="A1" s="3" t="s">
        <v>3</v>
      </c>
      <c r="B1" s="4">
        <v>0.78888888888888886</v>
      </c>
      <c r="C1" s="4">
        <v>0.79464120370370372</v>
      </c>
      <c r="D1" s="4">
        <v>0.81017361111111119</v>
      </c>
      <c r="E1" s="4">
        <v>0.82534722222222223</v>
      </c>
      <c r="F1" s="4">
        <v>0.85021990740740738</v>
      </c>
      <c r="G1" s="4">
        <v>0.87032407407407408</v>
      </c>
      <c r="H1" s="4">
        <v>0.9065509259259259</v>
      </c>
    </row>
    <row r="2" spans="1:20" x14ac:dyDescent="0.3">
      <c r="A2" t="s">
        <v>0</v>
      </c>
      <c r="B2" s="1">
        <v>73409645599</v>
      </c>
      <c r="C2" s="1">
        <v>86185980845</v>
      </c>
      <c r="D2" s="1">
        <v>98029742700</v>
      </c>
      <c r="E2" s="1">
        <v>109997565780</v>
      </c>
      <c r="F2" s="1">
        <v>127030909767</v>
      </c>
      <c r="G2" s="1">
        <v>141796238733</v>
      </c>
      <c r="H2" s="1">
        <v>170792172439</v>
      </c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 x14ac:dyDescent="0.3">
      <c r="A3" t="s">
        <v>1</v>
      </c>
      <c r="B3" s="1">
        <v>176877832204</v>
      </c>
      <c r="C3" s="1">
        <v>176883877645</v>
      </c>
      <c r="D3" s="1">
        <v>176889362071</v>
      </c>
      <c r="E3" s="1">
        <v>176894172847</v>
      </c>
      <c r="F3" s="1">
        <v>176901320375</v>
      </c>
      <c r="G3" s="1">
        <v>176905876107</v>
      </c>
      <c r="H3" s="1">
        <v>176913009474</v>
      </c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x14ac:dyDescent="0.3">
      <c r="A4" t="s">
        <v>2</v>
      </c>
      <c r="B4" s="2">
        <f t="shared" ref="B4:H4" si="0">B2/B3</f>
        <v>0.41503021992226724</v>
      </c>
      <c r="C4" s="2">
        <f t="shared" si="0"/>
        <v>0.48724610740370794</v>
      </c>
      <c r="D4" s="2">
        <f t="shared" si="0"/>
        <v>0.55418676144387213</v>
      </c>
      <c r="E4" s="2">
        <f t="shared" si="0"/>
        <v>0.62182696020823436</v>
      </c>
      <c r="F4" s="2">
        <f t="shared" si="0"/>
        <v>0.7180890990396035</v>
      </c>
      <c r="G4" s="2">
        <f t="shared" si="0"/>
        <v>0.80153492836628992</v>
      </c>
      <c r="H4" s="2">
        <f t="shared" si="0"/>
        <v>0.96540199585548536</v>
      </c>
    </row>
    <row r="5" spans="1:20" x14ac:dyDescent="0.3">
      <c r="A5" t="s">
        <v>5</v>
      </c>
      <c r="B5" s="1"/>
      <c r="C5" s="1">
        <f t="shared" ref="C5:H5" si="1">C2-B2</f>
        <v>12776335246</v>
      </c>
      <c r="D5" s="1">
        <f t="shared" si="1"/>
        <v>11843761855</v>
      </c>
      <c r="E5" s="1">
        <f t="shared" si="1"/>
        <v>11967823080</v>
      </c>
      <c r="F5" s="1">
        <f t="shared" si="1"/>
        <v>17033343987</v>
      </c>
      <c r="G5" s="1">
        <f t="shared" si="1"/>
        <v>14765328966</v>
      </c>
      <c r="H5" s="1">
        <f t="shared" si="1"/>
        <v>28995933706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</row>
    <row r="6" spans="1:20" x14ac:dyDescent="0.3">
      <c r="A6" t="s">
        <v>6</v>
      </c>
      <c r="C6" s="5">
        <f t="shared" ref="C6:H6" si="2">(C1-B1)</f>
        <v>5.7523148148148628E-3</v>
      </c>
      <c r="D6" s="5">
        <f t="shared" si="2"/>
        <v>1.5532407407407467E-2</v>
      </c>
      <c r="E6" s="5">
        <f t="shared" si="2"/>
        <v>1.5173611111111041E-2</v>
      </c>
      <c r="F6" s="5">
        <f t="shared" si="2"/>
        <v>2.487268518518515E-2</v>
      </c>
      <c r="G6" s="5">
        <f t="shared" si="2"/>
        <v>2.0104166666666701E-2</v>
      </c>
      <c r="H6" s="5">
        <f t="shared" si="2"/>
        <v>3.6226851851851816E-2</v>
      </c>
    </row>
    <row r="7" spans="1:20" x14ac:dyDescent="0.3">
      <c r="A7" t="s">
        <v>7</v>
      </c>
      <c r="C7" s="1">
        <f t="shared" ref="C7:H7" si="3">C3-C2</f>
        <v>90697896800</v>
      </c>
      <c r="D7" s="1">
        <f t="shared" si="3"/>
        <v>78859619371</v>
      </c>
      <c r="E7" s="1">
        <f t="shared" si="3"/>
        <v>66896607067</v>
      </c>
      <c r="F7" s="1">
        <f t="shared" si="3"/>
        <v>49870410608</v>
      </c>
      <c r="G7" s="1">
        <f t="shared" si="3"/>
        <v>35109637374</v>
      </c>
      <c r="H7" s="1">
        <f t="shared" si="3"/>
        <v>6120837035</v>
      </c>
    </row>
    <row r="8" spans="1:20" x14ac:dyDescent="0.3">
      <c r="A8" t="s">
        <v>8</v>
      </c>
      <c r="C8" s="6">
        <f t="shared" ref="C8:H8" si="4">C1+C7/(C5/C6)</f>
        <v>0.8354762980707312</v>
      </c>
      <c r="D8" s="6">
        <f t="shared" si="4"/>
        <v>0.91359343253772618</v>
      </c>
      <c r="E8" s="6">
        <f t="shared" si="4"/>
        <v>0.9101632404322324</v>
      </c>
      <c r="F8" s="6">
        <f t="shared" si="4"/>
        <v>0.92304242681730098</v>
      </c>
      <c r="G8" s="6">
        <f t="shared" si="4"/>
        <v>0.91812863047769244</v>
      </c>
      <c r="H8" s="6">
        <f t="shared" si="4"/>
        <v>0.91419815876638411</v>
      </c>
    </row>
    <row r="9" spans="1:20" x14ac:dyDescent="0.3">
      <c r="C9" s="1"/>
    </row>
    <row r="10" spans="1:20" ht="18" x14ac:dyDescent="0.35">
      <c r="A10" s="3" t="s">
        <v>9</v>
      </c>
      <c r="B10" s="4">
        <v>0.77407407407407414</v>
      </c>
      <c r="C10" s="4"/>
      <c r="D10" s="4"/>
      <c r="E10" s="4"/>
      <c r="F10" s="4"/>
      <c r="G10" s="4"/>
      <c r="H10" s="4"/>
    </row>
    <row r="11" spans="1:20" x14ac:dyDescent="0.3">
      <c r="A11" t="s">
        <v>0</v>
      </c>
      <c r="B11" s="1">
        <v>7228910986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</row>
    <row r="12" spans="1:20" x14ac:dyDescent="0.3">
      <c r="A12" t="s">
        <v>1</v>
      </c>
      <c r="B12" s="1">
        <v>233333812309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</row>
    <row r="13" spans="1:20" x14ac:dyDescent="0.3">
      <c r="A13" t="s">
        <v>2</v>
      </c>
      <c r="B13" s="2">
        <f t="shared" ref="B13" si="5">B11/B12</f>
        <v>3.0980983486554772E-2</v>
      </c>
      <c r="C13" s="2" t="e">
        <f t="shared" ref="C13" si="6">C11/C12</f>
        <v>#DIV/0!</v>
      </c>
      <c r="D13" s="2" t="e">
        <f t="shared" ref="D13" si="7">D11/D12</f>
        <v>#DIV/0!</v>
      </c>
      <c r="E13" s="2" t="e">
        <f t="shared" ref="E13" si="8">E11/E12</f>
        <v>#DIV/0!</v>
      </c>
      <c r="F13" s="2" t="e">
        <f t="shared" ref="F13" si="9">F11/F12</f>
        <v>#DIV/0!</v>
      </c>
      <c r="G13" s="2" t="e">
        <f t="shared" ref="G13" si="10">G11/G12</f>
        <v>#DIV/0!</v>
      </c>
      <c r="H13" s="2" t="e">
        <f t="shared" ref="H13" si="11">H11/H12</f>
        <v>#DIV/0!</v>
      </c>
    </row>
    <row r="14" spans="1:20" x14ac:dyDescent="0.3">
      <c r="A14" t="s">
        <v>5</v>
      </c>
      <c r="B14" s="1"/>
      <c r="C14" s="1">
        <f t="shared" ref="C14:H14" si="12">C11-B11</f>
        <v>-7228910986</v>
      </c>
      <c r="D14" s="1">
        <f t="shared" si="12"/>
        <v>0</v>
      </c>
      <c r="E14" s="1">
        <f t="shared" si="12"/>
        <v>0</v>
      </c>
      <c r="F14" s="1">
        <f t="shared" si="12"/>
        <v>0</v>
      </c>
      <c r="G14" s="1">
        <f t="shared" si="12"/>
        <v>0</v>
      </c>
      <c r="H14" s="1">
        <f t="shared" si="12"/>
        <v>0</v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</row>
    <row r="15" spans="1:20" x14ac:dyDescent="0.3">
      <c r="A15" t="s">
        <v>6</v>
      </c>
      <c r="C15" s="5">
        <f t="shared" ref="C15:H15" si="13">(C10-B10)</f>
        <v>-0.77407407407407414</v>
      </c>
      <c r="D15" s="5">
        <f t="shared" si="13"/>
        <v>0</v>
      </c>
      <c r="E15" s="5">
        <f t="shared" si="13"/>
        <v>0</v>
      </c>
      <c r="F15" s="5">
        <f t="shared" si="13"/>
        <v>0</v>
      </c>
      <c r="G15" s="5">
        <f t="shared" si="13"/>
        <v>0</v>
      </c>
      <c r="H15" s="5">
        <f t="shared" si="13"/>
        <v>0</v>
      </c>
    </row>
    <row r="16" spans="1:20" x14ac:dyDescent="0.3">
      <c r="A16" t="s">
        <v>7</v>
      </c>
      <c r="C16" s="1">
        <f t="shared" ref="C16:H16" si="14">C12-C11</f>
        <v>0</v>
      </c>
      <c r="D16" s="1">
        <f t="shared" si="14"/>
        <v>0</v>
      </c>
      <c r="E16" s="1">
        <f t="shared" si="14"/>
        <v>0</v>
      </c>
      <c r="F16" s="1">
        <f t="shared" si="14"/>
        <v>0</v>
      </c>
      <c r="G16" s="1">
        <f t="shared" si="14"/>
        <v>0</v>
      </c>
      <c r="H16" s="1">
        <f t="shared" si="14"/>
        <v>0</v>
      </c>
    </row>
    <row r="17" spans="1:20" x14ac:dyDescent="0.3">
      <c r="A17" t="s">
        <v>8</v>
      </c>
      <c r="C17" s="6">
        <f t="shared" ref="C17" si="15">C10+C16/(C14/C15)</f>
        <v>0</v>
      </c>
      <c r="D17" s="6" t="e">
        <f t="shared" ref="D17" si="16">D10+D16/(D14/D15)</f>
        <v>#DIV/0!</v>
      </c>
      <c r="E17" s="6" t="e">
        <f t="shared" ref="E17" si="17">E10+E16/(E14/E15)</f>
        <v>#DIV/0!</v>
      </c>
      <c r="F17" s="6" t="e">
        <f t="shared" ref="F17" si="18">F10+F16/(F14/F15)</f>
        <v>#DIV/0!</v>
      </c>
      <c r="G17" s="6" t="e">
        <f t="shared" ref="G17" si="19">G10+G16/(G14/G15)</f>
        <v>#DIV/0!</v>
      </c>
      <c r="H17" s="6" t="e">
        <f t="shared" ref="H17" si="20">H10+H16/(H14/H15)</f>
        <v>#DIV/0!</v>
      </c>
    </row>
    <row r="19" spans="1:20" x14ac:dyDescent="0.3">
      <c r="B19" s="1"/>
    </row>
    <row r="20" spans="1:20" ht="18" x14ac:dyDescent="0.35">
      <c r="A20" s="3" t="s">
        <v>10</v>
      </c>
      <c r="B20" s="4">
        <v>0.96855324074074067</v>
      </c>
      <c r="C20" s="4">
        <v>0.98490740740740745</v>
      </c>
      <c r="D20" s="4">
        <v>1.0163541666666667</v>
      </c>
      <c r="E20" s="4">
        <v>1.2598495370370371</v>
      </c>
      <c r="F20" s="4">
        <v>1.4020254629629629</v>
      </c>
      <c r="G20" s="4"/>
      <c r="H20" s="4"/>
    </row>
    <row r="21" spans="1:20" x14ac:dyDescent="0.3">
      <c r="A21" t="s">
        <v>0</v>
      </c>
      <c r="B21" s="1">
        <v>34567619924</v>
      </c>
      <c r="C21" s="1">
        <v>137660290541</v>
      </c>
      <c r="D21" s="1">
        <v>339070609548</v>
      </c>
      <c r="E21" s="1">
        <v>1393525890685</v>
      </c>
      <c r="F21" s="1">
        <v>1696938681136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</row>
    <row r="22" spans="1:20" x14ac:dyDescent="0.3">
      <c r="A22" t="s">
        <v>1</v>
      </c>
      <c r="B22" s="1">
        <v>1763647510676</v>
      </c>
      <c r="C22" s="1">
        <v>1763660702235</v>
      </c>
      <c r="D22" s="1">
        <v>1763685576850</v>
      </c>
      <c r="E22" s="1">
        <v>1763774664532</v>
      </c>
      <c r="F22" s="1">
        <v>1764413578590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</row>
    <row r="23" spans="1:20" x14ac:dyDescent="0.3">
      <c r="A23" t="s">
        <v>2</v>
      </c>
      <c r="B23" s="2">
        <f t="shared" ref="B23" si="21">B21/B22</f>
        <v>1.9600072982129152E-2</v>
      </c>
      <c r="C23" s="2">
        <f t="shared" ref="C23" si="22">C21/C22</f>
        <v>7.8053726755123551E-2</v>
      </c>
      <c r="D23" s="2">
        <f t="shared" ref="D23" si="23">D21/D22</f>
        <v>0.19225116653365798</v>
      </c>
      <c r="E23" s="2">
        <f t="shared" ref="E23" si="24">E21/E22</f>
        <v>0.7900815896200426</v>
      </c>
      <c r="F23" s="2">
        <f t="shared" ref="F23" si="25">F21/F22</f>
        <v>0.96175789039896109</v>
      </c>
      <c r="G23" s="2" t="e">
        <f t="shared" ref="G23" si="26">G21/G22</f>
        <v>#DIV/0!</v>
      </c>
      <c r="H23" s="2" t="e">
        <f t="shared" ref="H23" si="27">H21/H22</f>
        <v>#DIV/0!</v>
      </c>
    </row>
    <row r="24" spans="1:20" x14ac:dyDescent="0.3">
      <c r="A24" t="s">
        <v>5</v>
      </c>
      <c r="B24" s="1"/>
      <c r="C24" s="1">
        <f>C21-$B$21</f>
        <v>103092670617</v>
      </c>
      <c r="D24" s="1">
        <f t="shared" ref="D24:H24" si="28">D21-$B$21</f>
        <v>304502989624</v>
      </c>
      <c r="E24" s="1">
        <f t="shared" si="28"/>
        <v>1358958270761</v>
      </c>
      <c r="F24" s="1">
        <f t="shared" si="28"/>
        <v>1662371061212</v>
      </c>
      <c r="G24" s="1">
        <f t="shared" si="28"/>
        <v>-34567619924</v>
      </c>
      <c r="H24" s="1">
        <f t="shared" si="28"/>
        <v>-34567619924</v>
      </c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</row>
    <row r="25" spans="1:20" x14ac:dyDescent="0.3">
      <c r="A25" t="s">
        <v>6</v>
      </c>
      <c r="C25" s="5">
        <f>(C20-$B$20)</f>
        <v>1.6354166666666781E-2</v>
      </c>
      <c r="D25" s="5">
        <f t="shared" ref="D25:H25" si="29">(D20-$B$20)</f>
        <v>4.7800925925925997E-2</v>
      </c>
      <c r="E25" s="5">
        <f t="shared" si="29"/>
        <v>0.29129629629629639</v>
      </c>
      <c r="F25" s="5">
        <f t="shared" si="29"/>
        <v>0.43347222222222226</v>
      </c>
      <c r="G25" s="5">
        <f t="shared" si="29"/>
        <v>-0.96855324074074067</v>
      </c>
      <c r="H25" s="5">
        <f t="shared" si="29"/>
        <v>-0.96855324074074067</v>
      </c>
    </row>
    <row r="26" spans="1:20" x14ac:dyDescent="0.3">
      <c r="A26" t="s">
        <v>7</v>
      </c>
      <c r="C26" s="1">
        <f t="shared" ref="C26:H26" si="30">C22-C21</f>
        <v>1626000411694</v>
      </c>
      <c r="D26" s="1">
        <f t="shared" si="30"/>
        <v>1424614967302</v>
      </c>
      <c r="E26" s="1">
        <f t="shared" si="30"/>
        <v>370248773847</v>
      </c>
      <c r="F26" s="1">
        <f t="shared" si="30"/>
        <v>67474897454</v>
      </c>
      <c r="G26" s="1">
        <f t="shared" si="30"/>
        <v>0</v>
      </c>
      <c r="H26" s="1">
        <f t="shared" si="30"/>
        <v>0</v>
      </c>
    </row>
    <row r="27" spans="1:20" ht="15.6" x14ac:dyDescent="0.3">
      <c r="A27" s="8" t="s">
        <v>8</v>
      </c>
      <c r="B27" s="8"/>
      <c r="C27" s="7">
        <f t="shared" ref="C27:H27" si="31">C20+C26/(C24/C25)</f>
        <v>1.2428489426665346</v>
      </c>
      <c r="D27" s="7">
        <f t="shared" si="31"/>
        <v>1.2399904423204973</v>
      </c>
      <c r="E27" s="7">
        <f t="shared" si="31"/>
        <v>1.3392133400693997</v>
      </c>
      <c r="F27" s="7">
        <f t="shared" si="31"/>
        <v>1.4196199064816546</v>
      </c>
      <c r="G27" s="7">
        <f t="shared" si="31"/>
        <v>0</v>
      </c>
      <c r="H27" s="7">
        <f t="shared" si="31"/>
        <v>0</v>
      </c>
    </row>
    <row r="28" spans="1:20" x14ac:dyDescent="0.3">
      <c r="A28" s="9">
        <v>3.888888888888889E-2</v>
      </c>
      <c r="C28" s="6"/>
      <c r="D28" s="6"/>
      <c r="E28" s="6"/>
      <c r="F28" s="6"/>
      <c r="G28" s="6"/>
      <c r="H28" s="6"/>
    </row>
    <row r="29" spans="1:20" x14ac:dyDescent="0.3">
      <c r="A29" t="s">
        <v>12</v>
      </c>
      <c r="C29" s="6"/>
      <c r="D29" s="6"/>
      <c r="E29" s="6"/>
      <c r="F29" s="6"/>
      <c r="G29" s="6"/>
      <c r="H29" s="6"/>
    </row>
    <row r="30" spans="1:20" x14ac:dyDescent="0.3">
      <c r="A30" t="s">
        <v>14</v>
      </c>
      <c r="C30" s="6"/>
      <c r="D30" s="6"/>
      <c r="E30" s="6"/>
      <c r="F30" s="6"/>
      <c r="G30" s="6"/>
      <c r="H30" s="6"/>
    </row>
    <row r="31" spans="1:20" ht="18" x14ac:dyDescent="0.35">
      <c r="A31" s="3" t="s">
        <v>4</v>
      </c>
      <c r="B31" s="4">
        <v>0.97105324074074073</v>
      </c>
      <c r="C31" s="4">
        <v>0.99050925925925926</v>
      </c>
      <c r="D31" s="4">
        <v>1.0186342592592592</v>
      </c>
      <c r="E31" s="4">
        <v>1.2646180555555555</v>
      </c>
      <c r="F31" s="4">
        <v>1.4061226851851851</v>
      </c>
    </row>
    <row r="32" spans="1:20" x14ac:dyDescent="0.3">
      <c r="A32" t="s">
        <v>0</v>
      </c>
      <c r="B32" s="1">
        <v>32760782516</v>
      </c>
      <c r="C32" s="1">
        <v>119692988356</v>
      </c>
      <c r="D32" s="1">
        <v>195954241050</v>
      </c>
      <c r="E32" s="1">
        <v>689374372336</v>
      </c>
      <c r="F32" s="1">
        <v>947724479824</v>
      </c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</row>
    <row r="33" spans="1:20" x14ac:dyDescent="0.3">
      <c r="A33" t="s">
        <v>1</v>
      </c>
      <c r="B33" s="1">
        <v>947404743903</v>
      </c>
      <c r="C33" s="1">
        <v>947411242473</v>
      </c>
      <c r="D33" s="1">
        <v>947418907565</v>
      </c>
      <c r="E33" s="1">
        <v>947431071284</v>
      </c>
      <c r="F33" s="1">
        <v>947725095844</v>
      </c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</row>
    <row r="34" spans="1:20" x14ac:dyDescent="0.3">
      <c r="A34" t="s">
        <v>2</v>
      </c>
      <c r="B34" s="2">
        <f>B32/B33</f>
        <v>3.4579500183877288E-2</v>
      </c>
      <c r="C34" s="2">
        <f>C32/C33</f>
        <v>0.12633688834382931</v>
      </c>
      <c r="D34" s="2">
        <f>D32/D33</f>
        <v>0.20682956555472382</v>
      </c>
      <c r="E34" s="2">
        <f>E32/E33</f>
        <v>0.72762483016493196</v>
      </c>
      <c r="F34" s="2">
        <f>F32/F33</f>
        <v>0.99999935000138473</v>
      </c>
    </row>
    <row r="35" spans="1:20" x14ac:dyDescent="0.3">
      <c r="A35" t="s">
        <v>5</v>
      </c>
      <c r="B35" s="1"/>
      <c r="C35" s="1">
        <f>C32-$B$32</f>
        <v>86932205840</v>
      </c>
      <c r="D35" s="1">
        <f t="shared" ref="D35:H35" si="32">D32-$B$32</f>
        <v>163193458534</v>
      </c>
      <c r="E35" s="1">
        <f t="shared" si="32"/>
        <v>656613589820</v>
      </c>
      <c r="F35" s="1">
        <f t="shared" si="32"/>
        <v>914963697308</v>
      </c>
      <c r="G35" s="1">
        <f t="shared" si="32"/>
        <v>-32760782516</v>
      </c>
      <c r="H35" s="1">
        <f t="shared" si="32"/>
        <v>-32760782516</v>
      </c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</row>
    <row r="36" spans="1:20" x14ac:dyDescent="0.3">
      <c r="A36" t="s">
        <v>6</v>
      </c>
      <c r="C36" s="5">
        <f>(C31-$B$31)</f>
        <v>1.9456018518518525E-2</v>
      </c>
      <c r="D36" s="5">
        <f t="shared" ref="D36:H36" si="33">(D31-$B$31)</f>
        <v>4.7581018518518481E-2</v>
      </c>
      <c r="E36" s="5">
        <f t="shared" si="33"/>
        <v>0.29356481481481478</v>
      </c>
      <c r="F36" s="5">
        <f t="shared" si="33"/>
        <v>0.4350694444444444</v>
      </c>
      <c r="G36" s="5">
        <f t="shared" si="33"/>
        <v>-0.97105324074074073</v>
      </c>
      <c r="H36" s="5">
        <f t="shared" si="33"/>
        <v>-0.97105324074074073</v>
      </c>
    </row>
    <row r="37" spans="1:20" x14ac:dyDescent="0.3">
      <c r="A37" t="s">
        <v>7</v>
      </c>
      <c r="C37" s="1">
        <f>C33-C32</f>
        <v>827718254117</v>
      </c>
      <c r="D37" s="1">
        <f>D33-D32</f>
        <v>751464666515</v>
      </c>
      <c r="E37" s="1">
        <f>E33-E32</f>
        <v>258056698948</v>
      </c>
      <c r="F37" s="1">
        <f>F33-F32</f>
        <v>616020</v>
      </c>
    </row>
    <row r="38" spans="1:20" ht="15.6" x14ac:dyDescent="0.3">
      <c r="A38" s="8" t="s">
        <v>8</v>
      </c>
      <c r="B38" s="8"/>
      <c r="C38" s="7">
        <f>C31+C37/(C35/C36)</f>
        <v>1.1757582302776182</v>
      </c>
      <c r="D38" s="7">
        <f t="shared" ref="D38:H38" si="34">D31+D37/(D35/D36)</f>
        <v>1.2377328342552243</v>
      </c>
      <c r="E38" s="7">
        <f t="shared" si="34"/>
        <v>1.3799924069441087</v>
      </c>
      <c r="F38" s="7">
        <f t="shared" si="34"/>
        <v>1.4061229781055271</v>
      </c>
      <c r="G38" s="7">
        <f t="shared" si="34"/>
        <v>0</v>
      </c>
      <c r="H38" s="7">
        <f t="shared" si="34"/>
        <v>0</v>
      </c>
    </row>
    <row r="39" spans="1:20" x14ac:dyDescent="0.3">
      <c r="A39" s="9">
        <v>3.888888888888889E-2</v>
      </c>
    </row>
    <row r="40" spans="1:20" x14ac:dyDescent="0.3">
      <c r="A40" t="s">
        <v>11</v>
      </c>
    </row>
    <row r="41" spans="1:20" x14ac:dyDescent="0.3">
      <c r="A41" t="s">
        <v>13</v>
      </c>
    </row>
  </sheetData>
  <mergeCells count="2">
    <mergeCell ref="A27:B27"/>
    <mergeCell ref="A38:B38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Tanajura, Davi</dc:creator>
  <cp:lastModifiedBy>Tanajura, Davi</cp:lastModifiedBy>
  <dcterms:created xsi:type="dcterms:W3CDTF">2023-05-02T21:47:08Z</dcterms:created>
  <dcterms:modified xsi:type="dcterms:W3CDTF">2023-05-11T13:08:14Z</dcterms:modified>
</cp:coreProperties>
</file>